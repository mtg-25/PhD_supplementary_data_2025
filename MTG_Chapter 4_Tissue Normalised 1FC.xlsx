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tir-my.sharepoint.com/personal/mag7_stir_ac_uk/Documents/From FileStore/My Documents/PhD/simon 25_3_21/FINAL CHAPTERS FOR CORRECTIONS/Chapters V1/2027481_PhD Thesis_17FEB25/Chapter 4_Electronic supplementary data/"/>
    </mc:Choice>
  </mc:AlternateContent>
  <xr:revisionPtr revIDLastSave="8" documentId="8_{4EC2E91E-A4C9-44B2-BEA3-46438858B70C}" xr6:coauthVersionLast="47" xr6:coauthVersionMax="47" xr10:uidLastSave="{0D8CD738-2E7C-489D-BD09-FBBF575E9ACA}"/>
  <bookViews>
    <workbookView xWindow="-120" yWindow="-120" windowWidth="29040" windowHeight="15840" tabRatio="921" xr2:uid="{5AB8A9AF-3601-4EB1-8DD3-3A84CBD056D3}"/>
  </bookViews>
  <sheets>
    <sheet name="All mTOR" sheetId="1" r:id="rId1"/>
    <sheet name="All up" sheetId="2" r:id="rId2"/>
    <sheet name="All down" sheetId="3" r:id="rId3"/>
    <sheet name="All up pathways" sheetId="4" r:id="rId4"/>
    <sheet name="all down pathways" sheetId="5" r:id="rId5"/>
    <sheet name="up and down " sheetId="6" r:id="rId6"/>
    <sheet name="No duplicates" sheetId="7" r:id="rId7"/>
    <sheet name="mTOR mRNA transcripts + pathway"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 l="1"/>
  <c r="M5" i="1"/>
  <c r="M3" i="1"/>
  <c r="Q11" i="5"/>
  <c r="Q10" i="5"/>
  <c r="Q7" i="5"/>
  <c r="Q6" i="5"/>
</calcChain>
</file>

<file path=xl/sharedStrings.xml><?xml version="1.0" encoding="utf-8"?>
<sst xmlns="http://schemas.openxmlformats.org/spreadsheetml/2006/main" count="13753" uniqueCount="1984">
  <si>
    <t>From</t>
  </si>
  <si>
    <t>To</t>
  </si>
  <si>
    <t>Species</t>
  </si>
  <si>
    <t>Gene Name</t>
  </si>
  <si>
    <t>ENSSSAG00000063229</t>
  </si>
  <si>
    <t>Salmo salar</t>
  </si>
  <si>
    <t>40S ribosomal protein S6(LOC106609995)</t>
  </si>
  <si>
    <t>ENSSSAG00000000691</t>
  </si>
  <si>
    <t>V-type proton ATPase catalytic subunit A(LOC106603053)</t>
  </si>
  <si>
    <t>ENSSSAG00000121276</t>
  </si>
  <si>
    <t>frizzled-1-like(LOC106579053)</t>
  </si>
  <si>
    <t>ENSSSAG00000120506</t>
  </si>
  <si>
    <t>frizzled-5-like(LOC106582378)</t>
  </si>
  <si>
    <t>ENSSSAG00000069204</t>
  </si>
  <si>
    <t>large neutral amino acids transporter small subunit 1(LOC106567382)</t>
  </si>
  <si>
    <t>ENSSSAG00000041161</t>
  </si>
  <si>
    <t>insulin receptor(LOC106600510)</t>
  </si>
  <si>
    <t>ENSSSAG00000072696</t>
  </si>
  <si>
    <t>NPR2 like, GATOR1 complex subunit(LOC106582798)</t>
  </si>
  <si>
    <t>ENSSSAG00000075326</t>
  </si>
  <si>
    <t>phosphatidylinositol 3-kinase regulatory subunit gamma-like(LOC106569403)</t>
  </si>
  <si>
    <t>ENSSSAG00000086070</t>
  </si>
  <si>
    <t>protein Wnt-7b(LOC106584495)</t>
  </si>
  <si>
    <t>ENSSSAG00000079805</t>
  </si>
  <si>
    <t>cytosolic arginine sensor for mTORC1 subunit 2(LOC106567563)</t>
  </si>
  <si>
    <t>ENSSSAG00000004368</t>
  </si>
  <si>
    <t>V-type proton ATPase catalytic subunit A(LOC106563593)</t>
  </si>
  <si>
    <t>ENSSSAG00000010140</t>
  </si>
  <si>
    <t>V-type proton ATPase subunit E 1(LOC106561370)</t>
  </si>
  <si>
    <t>ENSSSAG00000090681</t>
  </si>
  <si>
    <t>frizzled-7-A-like(LOC106575172)</t>
  </si>
  <si>
    <t>ENSSSAG00000004924</t>
  </si>
  <si>
    <t>folliculin(flcn)</t>
  </si>
  <si>
    <t>ENSSSAG00000064449</t>
  </si>
  <si>
    <t>eukaryotic translation initiation factor 4B-like(LOC106566970)</t>
  </si>
  <si>
    <t>ENSSSAG00000003034</t>
  </si>
  <si>
    <t>segment polarity protein dishevelled homolog DVL-3-like(LOC106599063)</t>
  </si>
  <si>
    <t>ENSSSAG00000119062</t>
  </si>
  <si>
    <t>E3 ubiquitin-protein ligase RNF152-like(LOC106590060)</t>
  </si>
  <si>
    <t>ENSSSAG00000106789</t>
  </si>
  <si>
    <t>frizzled-5-like(LOC106586337)</t>
  </si>
  <si>
    <t>ENSSSAG00000044375</t>
  </si>
  <si>
    <t>insulin-like growth factor I(LOC106609475)</t>
  </si>
  <si>
    <t>ENSSSAG00000045104</t>
  </si>
  <si>
    <t>inhibitor of nuclear factor kappa B kinase subunit beta(ikbkb)</t>
  </si>
  <si>
    <t>ENSSSAG00000081329</t>
  </si>
  <si>
    <t>serine/threonine-protein kinase STK11(LOC106599971)</t>
  </si>
  <si>
    <t>ENSSSAG00000116109</t>
  </si>
  <si>
    <t>V-type proton ATPase subunit E 1-like(LOC106609471)</t>
  </si>
  <si>
    <t>ENSSSAG00000111850</t>
  </si>
  <si>
    <t>4F2 cell-surface antigen heavy chain(LOC106563501)</t>
  </si>
  <si>
    <t>ENSSSAG00000111573</t>
  </si>
  <si>
    <t>growth factor receptor-bound protein 2-like(LOC106564671)</t>
  </si>
  <si>
    <t>ENSSSAG00000043206</t>
  </si>
  <si>
    <t>mitogen-activated protein kinase 1(LOC106570952)</t>
  </si>
  <si>
    <t>ENSSSAG00000075450</t>
  </si>
  <si>
    <t>growth factor receptor-bound protein 2-like(LOC106587111)</t>
  </si>
  <si>
    <t>ENSSSAG00000000318</t>
  </si>
  <si>
    <t>serine/threonine-protein kinase ULK1(ulk1b)</t>
  </si>
  <si>
    <t>ENSSSAG00000043918</t>
  </si>
  <si>
    <t>calcium-binding protein 39(LOC106581356)</t>
  </si>
  <si>
    <t>ENSSSAG00000064418</t>
  </si>
  <si>
    <t>protein Wnt-6-like(LOC106586152)</t>
  </si>
  <si>
    <t>ENSSSAG00000081390</t>
  </si>
  <si>
    <t>DEP domain-containing mTOR-interacting protein(si:dkeyp-97e7.9)</t>
  </si>
  <si>
    <t>ENSSSAG00000079590</t>
  </si>
  <si>
    <t>dishevelled segment polarity protein 2(dvl2)</t>
  </si>
  <si>
    <t>ENSSSAG00000003778</t>
  </si>
  <si>
    <t>GATOR complex protein MIOS(LOC106605261)</t>
  </si>
  <si>
    <t>ENSSSAG00000075429</t>
  </si>
  <si>
    <t>V-type proton ATPase subunit B, brain isoform(LOC106563054)</t>
  </si>
  <si>
    <t>ENSSSAG00000057291</t>
  </si>
  <si>
    <t>phosphatidate phosphatase LPIN1(LOC106610734)</t>
  </si>
  <si>
    <t>ENSSSAG00000075262</t>
  </si>
  <si>
    <t>lipin 2(lpin2)</t>
  </si>
  <si>
    <t>ENSSSAG00000086833</t>
  </si>
  <si>
    <t>frizzled-9(LOC106603626)</t>
  </si>
  <si>
    <t>ENSSSAG00000056385</t>
  </si>
  <si>
    <t>phosphatidylinositol 3-kinase regulatory subunit gamma(LOC106600405)</t>
  </si>
  <si>
    <t>ENSSSAG00000117983</t>
  </si>
  <si>
    <t>folliculin-interacting protein 1(LOC106567520)</t>
  </si>
  <si>
    <t>ENSSSAG00000058668</t>
  </si>
  <si>
    <t>wingless-type MMTV integration site family, member 4(wnt4)</t>
  </si>
  <si>
    <t>ENSSSAG00000088178</t>
  </si>
  <si>
    <t>frizzled-7-A-like(LOC106574245)</t>
  </si>
  <si>
    <t>ENSSSAG00000040476</t>
  </si>
  <si>
    <t>STE20-related kinase adapter protein alpha(LOC106606872)</t>
  </si>
  <si>
    <t>ENSSSAG00000061151</t>
  </si>
  <si>
    <t>calcium-binding protein 39(LOC106613169)</t>
  </si>
  <si>
    <t>ENSSSAG00000103858</t>
  </si>
  <si>
    <t>ribosomal protein S6 kinase 2 alpha(LOC106612640)</t>
  </si>
  <si>
    <t>ENSSSAG00000045099</t>
  </si>
  <si>
    <t>GATOR complex protein NPRL3-like(LOC106607369)</t>
  </si>
  <si>
    <t>ENSSSAG00000084013</t>
  </si>
  <si>
    <t>GTP-binding protein Rheb-like(LOC106590380)</t>
  </si>
  <si>
    <t>ENSSSAG00000001987</t>
  </si>
  <si>
    <t>V-type proton ATPase subunit B, brain isoform(LOC100136392)</t>
  </si>
  <si>
    <t>ENSSSAG00000069442</t>
  </si>
  <si>
    <t>serine/threonine-protein kinase ULK2(LOC106581221)</t>
  </si>
  <si>
    <t>ENSSSAG00000108635</t>
  </si>
  <si>
    <t>protein kinase, AMP-activated, alpha 2 catalytic subunit(prkaa2)</t>
  </si>
  <si>
    <t>ENSSSAG00000051406</t>
  </si>
  <si>
    <t>tumor necrosis factor receptor superfamily member 1A-like(LOC106575188)</t>
  </si>
  <si>
    <t>ENSSSAG00000001102</t>
  </si>
  <si>
    <t>STE20-related kinase adapter protein alpha-like(LOC106601607)</t>
  </si>
  <si>
    <t>ENSSSAG00000074869</t>
  </si>
  <si>
    <t>segment polarity protein dishevelled homolog DVL-1(LOC106572388)</t>
  </si>
  <si>
    <t>ENSSSAG00000098539</t>
  </si>
  <si>
    <t>cytosolic arginine sensor for mTORC1 subunit 1(castor1)</t>
  </si>
  <si>
    <t>ENSSSAG00000051886</t>
  </si>
  <si>
    <t>large neutral amino acids transporter small subunit 1(LOC106573635)</t>
  </si>
  <si>
    <t>ENSSSAG00000076242</t>
  </si>
  <si>
    <t>frizzled-3-like(LOC106608120)</t>
  </si>
  <si>
    <t>ENSSSAG00000055167</t>
  </si>
  <si>
    <t>phosphatidate phosphatase LPIN1(LOC106570052)</t>
  </si>
  <si>
    <t>ENSSSAG00000073374</t>
  </si>
  <si>
    <t>phosphatidylinositol 3-kinase regulatory subunit beta(LOC106568949)</t>
  </si>
  <si>
    <t>ENSSSAG00000026509</t>
  </si>
  <si>
    <t>v-akt murine thymoma viral oncogene homolog 2(akt2)</t>
  </si>
  <si>
    <t>ENSSSAG00000063702</t>
  </si>
  <si>
    <t>dishevelled segment polarity protein 1a(dvl1a)</t>
  </si>
  <si>
    <t>ENSSSAG00000008770</t>
  </si>
  <si>
    <t>SEC13 homolog, nuclear pore and COPII coat complex component(sec13)</t>
  </si>
  <si>
    <t>ENSSSAG00000057788</t>
  </si>
  <si>
    <t>phosphatidylinositol 3-kinase regulatory subunit gamma-like(LOC106613635)</t>
  </si>
  <si>
    <t>ENSSSAG00000090406</t>
  </si>
  <si>
    <t>glycogen synthase kinase-3 beta(LOC106582120)</t>
  </si>
  <si>
    <t>ENSSSAG00000089653</t>
  </si>
  <si>
    <t>eukaryotic translation initiation factor 4E type 2(LOC106608398)</t>
  </si>
  <si>
    <t>ENSSSAG00000102037</t>
  </si>
  <si>
    <t>mitogen-activated protein kinase kinase 2a(map2k2a)</t>
  </si>
  <si>
    <t>ENSSSAG00000068165</t>
  </si>
  <si>
    <t>rapamycin-insensitive companion of mTOR-like(LOC106563815)</t>
  </si>
  <si>
    <t>ENSSSAG00000071324</t>
  </si>
  <si>
    <t>rapamycin-insensitive companion of mTOR-like(LOC106585162)</t>
  </si>
  <si>
    <t>ENSSSAG00000122050</t>
  </si>
  <si>
    <t>glycogen synthase kinase-3 beta(LOC106586650)</t>
  </si>
  <si>
    <t>ENSSSAG00000078911</t>
  </si>
  <si>
    <t>phosphatidylinositol 3,4,5-trisphosphate 3-phosphatase and dual-specificity protein phosphatase PTEN-like(LOC106577009)</t>
  </si>
  <si>
    <t>ENSSSAG00000108388</t>
  </si>
  <si>
    <t>insulin-like growth factor I(LOC100136517)</t>
  </si>
  <si>
    <t>ENSSSAG00000081935</t>
  </si>
  <si>
    <t>RAC-alpha serine/threonine-protein kinase-like(LOC106610858)</t>
  </si>
  <si>
    <t>ENSSSAG00000101472</t>
  </si>
  <si>
    <t>GTPase HRas-like(LOC106606379)</t>
  </si>
  <si>
    <t>ENSSSAG00000000363</t>
  </si>
  <si>
    <t>growth factor receptor-bound protein 2(grb2)</t>
  </si>
  <si>
    <t>ENSSSAG00000004049</t>
  </si>
  <si>
    <t>4F2 cell-surface antigen heavy chain(4f2)</t>
  </si>
  <si>
    <t>ENSSSAG00000013056</t>
  </si>
  <si>
    <t>TBC1 domain family, member 7(tbc1d7)</t>
  </si>
  <si>
    <t>ENSSSAG00000078232</t>
  </si>
  <si>
    <t>MAPK associated protein 1(mapkap1)</t>
  </si>
  <si>
    <t>ENSSSAG00000057156</t>
  </si>
  <si>
    <t>son of sevenless homolog 2 (Drosophila)(sos2)</t>
  </si>
  <si>
    <t>ENSSSAG00000120036</t>
  </si>
  <si>
    <t>calcium-binding protein 39-like(LOC106575554)</t>
  </si>
  <si>
    <t>ENSSSAG00000042315</t>
  </si>
  <si>
    <t>cytosolic arginine sensor for mTORC1 subunit 2(castor2)</t>
  </si>
  <si>
    <t>ENSSSAG00000066945</t>
  </si>
  <si>
    <t>phosphatidate phosphatase LPIN2-like(LOC106583597)</t>
  </si>
  <si>
    <t>ENSSSAG00000081887</t>
  </si>
  <si>
    <t>tumor necrosis factor receptor superfamily member 1A-like(LOC106567387)</t>
  </si>
  <si>
    <t>ENSSSAG00000071975</t>
  </si>
  <si>
    <t>solute carrier family 7 member 5(slc7a5)</t>
  </si>
  <si>
    <t>ENSSSAG00000098197</t>
  </si>
  <si>
    <t>protein Wnt-11-like(LOC106603540)</t>
  </si>
  <si>
    <t>ENSSSAG00000047729</t>
  </si>
  <si>
    <t>insulin-like growth factor 1a receptor(igf1ra)</t>
  </si>
  <si>
    <t>ENSSSAG00000074165</t>
  </si>
  <si>
    <t>phosphatidate phosphatase LPIN2-like(LOC106578699)</t>
  </si>
  <si>
    <t>ENSSSAG00000120041</t>
  </si>
  <si>
    <t>wingless-type MMTV integration site family, member 2Ba(wnt2ba)</t>
  </si>
  <si>
    <t>ENSSSAG00000109186</t>
  </si>
  <si>
    <t>frizzled-2-like(LOC106601035)</t>
  </si>
  <si>
    <t>ENSSSAG00000076220</t>
  </si>
  <si>
    <t>ribosomal protein S6 kinase beta-1-like(LOC106603521)</t>
  </si>
  <si>
    <t>ENSSSAG00000050171</t>
  </si>
  <si>
    <t>frizzled-7-A(LOC106582548)</t>
  </si>
  <si>
    <t>ENSSSAG00000077396</t>
  </si>
  <si>
    <t>proline rich 5a (renal)(prr5a)</t>
  </si>
  <si>
    <t>ENSSSAG00000119416</t>
  </si>
  <si>
    <t>protein Wnt-11-like(LOC106567945)</t>
  </si>
  <si>
    <t>ENSSSAG00000000910</t>
  </si>
  <si>
    <t>DEP domain containing 5, GATOR1 subcomplex subunit(depdc5)</t>
  </si>
  <si>
    <t>ENSSSAG00000080142</t>
  </si>
  <si>
    <t>segment polarity protein dishevelled homolog DVL-2(LOC106577635)</t>
  </si>
  <si>
    <t>ENSSSAG00000076163</t>
  </si>
  <si>
    <t>ribosomal protein S6 kinase beta-1(LOC106613000)</t>
  </si>
  <si>
    <t>ENSSSAG00000039735</t>
  </si>
  <si>
    <t>Tumor suppressor candidate 4(tusc4)</t>
  </si>
  <si>
    <t>ENSSSAG00000107509</t>
  </si>
  <si>
    <t>GTPase HRas(rash)</t>
  </si>
  <si>
    <t>ENSSSAG00000066237</t>
  </si>
  <si>
    <t>eukaryotic translation initiation factor 4E family member 2(eif4e2)</t>
  </si>
  <si>
    <t>ENSSSAG00000041252</t>
  </si>
  <si>
    <t>unc-51 like autophagy activating kinase 1a(ulk1a)</t>
  </si>
  <si>
    <t>ENSSSAG00000120525</t>
  </si>
  <si>
    <t>RAC-alpha serine/threonine-protein kinase(LOC106582637)</t>
  </si>
  <si>
    <t>ENSSSAG00000008591</t>
  </si>
  <si>
    <t>serine/threonine-protein kinase Sgk1(LOC106570356)</t>
  </si>
  <si>
    <t>ENSSSAG00000054728</t>
  </si>
  <si>
    <t>nucleoporin SEH1(LOC106594566)</t>
  </si>
  <si>
    <t>ENSSSAG00000048447</t>
  </si>
  <si>
    <t>MTOR associated protein, LST8 homolog (S. cerevisiae)(mlst8)</t>
  </si>
  <si>
    <t>ENSSSAG00000007939</t>
  </si>
  <si>
    <t>eukaryotic translation initiation factor 4B(LOC106565230)</t>
  </si>
  <si>
    <t>ENSSSAG00000014280</t>
  </si>
  <si>
    <t>RAF proto-oncogene serine/threonine-protein kinase(LOC106571905)</t>
  </si>
  <si>
    <t>ENSSSAG00000087185</t>
  </si>
  <si>
    <t>RAF proto-oncogene serine/threonine-protein kinase(LOC106566757)</t>
  </si>
  <si>
    <t>ENSSSAG00000072637</t>
  </si>
  <si>
    <t>Mitogen-activated protein kinase 3(mk03)</t>
  </si>
  <si>
    <t>ENSSSAG00000047997</t>
  </si>
  <si>
    <t>inhibitor of nuclear factor kappa-B kinase subunit alpha(LOC106579422)</t>
  </si>
  <si>
    <t>ENSSSAG00000072238</t>
  </si>
  <si>
    <t>proline-rich protein 5(LOC100286559)</t>
  </si>
  <si>
    <t>ENSSSAG00000113622</t>
  </si>
  <si>
    <t>transforming protein RhoA(LOC106583462)</t>
  </si>
  <si>
    <t>ENSSSAG00000047918</t>
  </si>
  <si>
    <t>segment polarity protein dishevelled homolog DVL-2(LOC106602818)</t>
  </si>
  <si>
    <t>ENSSSAG00000075481</t>
  </si>
  <si>
    <t>CAP-GLY domain containing linker protein 1a(clip1a)</t>
  </si>
  <si>
    <t>ENSSSAG00000064504</t>
  </si>
  <si>
    <t>frizzled-1-like(LOC106605516)</t>
  </si>
  <si>
    <t>ENSSSAG00000102843</t>
  </si>
  <si>
    <t>proline-rich protein 5-like(LOC106576365)</t>
  </si>
  <si>
    <t>ENSSSAG00000081347</t>
  </si>
  <si>
    <t>serine/threonine-protein kinase ULK1(LOC106563157)</t>
  </si>
  <si>
    <t>ENSSSAG00000069118</t>
  </si>
  <si>
    <t>S-phase kinase-associated protein 2, E3 ubiquitin protein ligase(skp2)</t>
  </si>
  <si>
    <t>ENSSSAG00000112091</t>
  </si>
  <si>
    <t>folliculin-interacting protein 1(LOC106603820)</t>
  </si>
  <si>
    <t>ENSSSAG00000045570</t>
  </si>
  <si>
    <t>solute carrier family 38 member 9(slc38a9)</t>
  </si>
  <si>
    <t>ENSSSAG00000068784</t>
  </si>
  <si>
    <t>protein Wnt-11-like(LOC106603405)</t>
  </si>
  <si>
    <t>ENSSSAG00000043385</t>
  </si>
  <si>
    <t>V-type proton ATPase subunit D(LOC106608215)</t>
  </si>
  <si>
    <t>ENSSSAG00000051448</t>
  </si>
  <si>
    <t>frizzled-6-like(LOC106605646)</t>
  </si>
  <si>
    <t>ENSSSAG00000045683</t>
  </si>
  <si>
    <t>40S ribosomal protein S6(LOC106602804)</t>
  </si>
  <si>
    <t>ENSSSAG00000094770</t>
  </si>
  <si>
    <t>serine/threonine-protein kinase STK11(LOC106569546)</t>
  </si>
  <si>
    <t>ENSSSAG00000054714</t>
  </si>
  <si>
    <t>insulin-like growth factor 1 receptor(LOC106573762)</t>
  </si>
  <si>
    <t>ENSSSAG00000101880</t>
  </si>
  <si>
    <t>ras-related GTP-binding protein C(LOC106570373)</t>
  </si>
  <si>
    <t>ENSSSAG00000097482</t>
  </si>
  <si>
    <t>GTP-binding protein Rheb(LOC106592571)</t>
  </si>
  <si>
    <t>ENSSSAG00000008217</t>
  </si>
  <si>
    <t>wingless-type MMTV integration site family, member 7Ba(wnt7ba)</t>
  </si>
  <si>
    <t>ENSSSAG00000050992</t>
  </si>
  <si>
    <t>phosphatidylinositol 4,5-bisphosphate 3-kinase catalytic subunit(LOC106568747)</t>
  </si>
  <si>
    <t>ENSSSAG00000114946</t>
  </si>
  <si>
    <t>frizzled-2-like(LOC106607305)</t>
  </si>
  <si>
    <t>ENSSSAG00000004899</t>
  </si>
  <si>
    <t>insulin receptor substrate 1(irs1)</t>
  </si>
  <si>
    <t>ENSSSAG00000096156</t>
  </si>
  <si>
    <t>RAC-alpha serine/threonine-protein kinase(LOC106571474)</t>
  </si>
  <si>
    <t>ENSSSAG00000074540</t>
  </si>
  <si>
    <t>segment polarity protein dishevelled homolog DVL-3(LOC106568930)</t>
  </si>
  <si>
    <t>Tissue</t>
  </si>
  <si>
    <t>Heart down</t>
  </si>
  <si>
    <t>ENSSSAG00000009422</t>
  </si>
  <si>
    <t>TSC complex subunit 1a(tsc1a)</t>
  </si>
  <si>
    <t>ENSSSAG00000062653</t>
  </si>
  <si>
    <t>inhibitor of nuclear factor kappa-B kinase subunit alpha(LOC106589264)</t>
  </si>
  <si>
    <t>ENSSSAG00000079094</t>
  </si>
  <si>
    <t>phosphatidylinositol 3-kinase regulatory subunit gamma(LOC106560529)</t>
  </si>
  <si>
    <t>ENSSSAG00000058799</t>
  </si>
  <si>
    <t>serum/glucocorticoid regulated kinase 2b(sgk2b)</t>
  </si>
  <si>
    <t>ENSSSAG00000058955</t>
  </si>
  <si>
    <t>serine/threonine-protein kinase Sgk1(LOC106591125)</t>
  </si>
  <si>
    <t>ENSSSAG00000080127</t>
  </si>
  <si>
    <t>insulin receptor substrate 1-B(LOC106577633)</t>
  </si>
  <si>
    <t>ENSSSAG00000051639</t>
  </si>
  <si>
    <t>protein Wnt-2-like(LOC106573123)</t>
  </si>
  <si>
    <t>ENSSSAG00000001260</t>
  </si>
  <si>
    <t>ribosomal protein S6 kinase alpha-3-like(LOC106603065)</t>
  </si>
  <si>
    <t>ENSSSAG00000068992</t>
  </si>
  <si>
    <t>phosphatidylinositol 3,4,5-trisphosphate 3-phosphatase and dual-specificity protein phosphatase PTEN-like(LOC106589390)</t>
  </si>
  <si>
    <t>ENSSSAG00000073424</t>
  </si>
  <si>
    <t>mitogen-activated protein kinase kinase 1(map2k1)</t>
  </si>
  <si>
    <t>ENSSSAG00000050701</t>
  </si>
  <si>
    <t>ras homolog gene family, member Ab(rhoab)</t>
  </si>
  <si>
    <t>ENSSSAG00000096426</t>
  </si>
  <si>
    <t>protein Wnt-9a(LOC106599874)</t>
  </si>
  <si>
    <t>ENSSSAG00000052045</t>
  </si>
  <si>
    <t>4F2 cell-surface antigen heavy chain(LOC106578137)</t>
  </si>
  <si>
    <t>ENSSSAG00000015795</t>
  </si>
  <si>
    <t>DNA damage-inducible transcript 4 protein(LOC106592479)</t>
  </si>
  <si>
    <t>ENSSSAG00000009933</t>
  </si>
  <si>
    <t>Dual specificity mitogen-activated protein kinase kinase 2(mp2k2)</t>
  </si>
  <si>
    <t>ENSSSAG00000078711</t>
  </si>
  <si>
    <t>ribosomal protein S6 kinase alpha-3-like(LOC106563584)</t>
  </si>
  <si>
    <t>ENSSSAG00000076897</t>
  </si>
  <si>
    <t>phosphatidylinositol 3-kinase regulatory subunit beta-like(LOC106599005)</t>
  </si>
  <si>
    <t>ENSSSAG00000095698</t>
  </si>
  <si>
    <t>glycogen synthase kinase-3 beta(LOC106574304)</t>
  </si>
  <si>
    <t>ENSSSAG00000004760</t>
  </si>
  <si>
    <t>growth factor receptor-bound protein 10-like(LOC106605415)</t>
  </si>
  <si>
    <t>ENSSSAG00000093827</t>
  </si>
  <si>
    <t>ADP-ribosylation factor 4(LOC106609140)</t>
  </si>
  <si>
    <t>V-type proton ATPase subunit F(LOC106609141)</t>
  </si>
  <si>
    <t>ENSSSAG00000082778</t>
  </si>
  <si>
    <t>proline rich 5 like(prr5l)</t>
  </si>
  <si>
    <t>ENSSSAG00000090834</t>
  </si>
  <si>
    <t>late endosomal/lysosomal adaptor, MAPK and MTOR activator 1(lamtor1)</t>
  </si>
  <si>
    <t>ENSSSAG00000048063</t>
  </si>
  <si>
    <t>V-type proton ATPase subunit C 1-A(LOC106579140)</t>
  </si>
  <si>
    <t>ENSSSAG00000001130</t>
  </si>
  <si>
    <t>son of sevenless homolog 1-like(LOC106584773)</t>
  </si>
  <si>
    <t>ENSSSAG00000010306</t>
  </si>
  <si>
    <t>large neutral amino acids transporter small subunit 1-like(LOC106595801)</t>
  </si>
  <si>
    <t>ENSSSAG00000019916</t>
  </si>
  <si>
    <t>DNA damage-inducible transcript 4 protein-like(LOC106577395)</t>
  </si>
  <si>
    <t>ENSSSAG00000104497</t>
  </si>
  <si>
    <t>RAC-alpha serine/threonine-protein kinase(LOC106607890)</t>
  </si>
  <si>
    <t>ENSSSAG00000068095</t>
  </si>
  <si>
    <t>phosphatidylinositol 4,5-bisphosphate 3-kinase catalytic subunit(LOC106598808)</t>
  </si>
  <si>
    <t>ENSSSAG00000045623</t>
  </si>
  <si>
    <t>TEL2, telomere maintenance 2, homolog (S. cerevisiae)(telo2)</t>
  </si>
  <si>
    <t>ENSSSAG00000046715</t>
  </si>
  <si>
    <t>mechanistic target of rapamycin kinase(mtor)</t>
  </si>
  <si>
    <t>ENSSSAG00000007986</t>
  </si>
  <si>
    <t>Ras-related GTP binding A(rraga)</t>
  </si>
  <si>
    <t>ENSSSAG00000052155</t>
  </si>
  <si>
    <t>insulin receptor-like(LOC106583950)</t>
  </si>
  <si>
    <t>ENSSSAG00000078964</t>
  </si>
  <si>
    <t>ribosomal protein S6 kinase alpha-3(LOC106579471)</t>
  </si>
  <si>
    <t>ENSSSAG00000076022</t>
  </si>
  <si>
    <t>ATPase, H+ transporting, lysosomal, V1 subunit B, member a(atp6v1ba)</t>
  </si>
  <si>
    <t>ENSSSAG00000094876</t>
  </si>
  <si>
    <t>protein kinase C beta type(LOC106594520)</t>
  </si>
  <si>
    <t>ENSSSAG00000056357</t>
  </si>
  <si>
    <t>frizzled-3-like(LOC106571436)</t>
  </si>
  <si>
    <t>ENSSSAG00000054056</t>
  </si>
  <si>
    <t>DNA damage-inducible transcript 4 protein(LOC106577211)</t>
  </si>
  <si>
    <t>ENSSSAG00000052394</t>
  </si>
  <si>
    <t>GTP-binding protein Rheb(LOC106596806)</t>
  </si>
  <si>
    <t>ENSSSAG00000070682</t>
  </si>
  <si>
    <t>eukaryotic translation initiation factor 4E(LOC106577251)</t>
  </si>
  <si>
    <t>ENSSSAG00000076388</t>
  </si>
  <si>
    <t>GTPase HRas(LOC106573361)</t>
  </si>
  <si>
    <t>ENSSSAG00000092453</t>
  </si>
  <si>
    <t>E3 ubiquitin-protein ligase RNF152-like(LOC106578589)</t>
  </si>
  <si>
    <t>ENSSSAG00000041617</t>
  </si>
  <si>
    <t>ribosomal protein S6 kinase beta-2-like(LOC106609967)</t>
  </si>
  <si>
    <t>ENSSSAG00000088901</t>
  </si>
  <si>
    <t>DEP domain-containing mTOR-interacting protein(LOC106572931)</t>
  </si>
  <si>
    <t>ENSSSAG00000116020</t>
  </si>
  <si>
    <t>rho-related GTP-binding protein RhoA-A(LOC106592002)</t>
  </si>
  <si>
    <t>ENSSSAG00000062874</t>
  </si>
  <si>
    <t>hamartin(LOC106565454)</t>
  </si>
  <si>
    <t>ENSSSAG00000063963</t>
  </si>
  <si>
    <t>ribosomal protein S6 kinase beta-2-like(LOC106602694)</t>
  </si>
  <si>
    <t>ENSSSAG00000042302</t>
  </si>
  <si>
    <t>Proline-rich AKT1 substrate 1(akts1)</t>
  </si>
  <si>
    <t>ENSSSAG00000040880</t>
  </si>
  <si>
    <t>insulin receptor substrate 1-B-like(LOC106567885)</t>
  </si>
  <si>
    <t>ENSSSAG00000046073</t>
  </si>
  <si>
    <t>ribosomal protein S6 kinase a, polypeptide 1(rps6ka1)</t>
  </si>
  <si>
    <t>ENSSSAG00000054808</t>
  </si>
  <si>
    <t>phosphatidylinositol 3-kinase regulatory subunit alpha-like(LOC106587034)</t>
  </si>
  <si>
    <t>ENSSSAG00000049857</t>
  </si>
  <si>
    <t>wingless-type MMTV integration site family, member 9A(wnt9a)</t>
  </si>
  <si>
    <t>ENSSSAG00000054921</t>
  </si>
  <si>
    <t>serine/threonine-protein kinase ULK2-like(LOC106612954)</t>
  </si>
  <si>
    <t>ENSSSAG00000078896</t>
  </si>
  <si>
    <t>phosphatase and tensin homolog B(ptenb)</t>
  </si>
  <si>
    <t>ENSSSAG00000070370</t>
  </si>
  <si>
    <t>serine/threonine-protein kinase Sgk1(LOC106589037)</t>
  </si>
  <si>
    <t>ENSSSAG00000090269</t>
  </si>
  <si>
    <t>insulin receptor substrate 1-B-like(LOC106603593)</t>
  </si>
  <si>
    <t>ENSSSAG00000054521</t>
  </si>
  <si>
    <t>3-phosphoinositide dependent protein kinase 1b(pdpk1b)</t>
  </si>
  <si>
    <t>ENSSSAG00000078530</t>
  </si>
  <si>
    <t>5'-AMP-activated protein kinase catalytic subunit alpha-1-like(LOC106568674)</t>
  </si>
  <si>
    <t>ENSSSAG00000004062</t>
  </si>
  <si>
    <t>eukaryotic translation initiation factor 4eb(eif4eb)</t>
  </si>
  <si>
    <t>ENSSSAG00000005393</t>
  </si>
  <si>
    <t>growth factor receptor-bound protein 2(LOC106607067)</t>
  </si>
  <si>
    <t>ENSSSAG00000064425</t>
  </si>
  <si>
    <t>low density lipoprotein receptor-related protein 5(lrp5)</t>
  </si>
  <si>
    <t>ENSSSAG00000065634</t>
  </si>
  <si>
    <t>5'-AMP-activated protein kinase catalytic subunit alpha-2-like(LOC106560227)</t>
  </si>
  <si>
    <t>ENSSSAG00000120618</t>
  </si>
  <si>
    <t>phosphatidylinositol 3-kinase regulatory subunit gamma(LOC106584012)</t>
  </si>
  <si>
    <t>ENSSSAG00000061272</t>
  </si>
  <si>
    <t>phosphatidylinositol 4,5-bisphosphate 3-kinase catalytic subunit(LOC106613172)</t>
  </si>
  <si>
    <t>ENSSSAG00000047398</t>
  </si>
  <si>
    <t>eukaryotic translation initiation factor 4E binding protein 1(eif4ebp1)</t>
  </si>
  <si>
    <t>ENSSSAG00000082990</t>
  </si>
  <si>
    <t>glycogen synthase kinase-3 beta(LOC106575154)</t>
  </si>
  <si>
    <t>ENSSSAG00000007052</t>
  </si>
  <si>
    <t>protein kinase C alpha type(LOC106564882)</t>
  </si>
  <si>
    <t>ENSSSAG00000056819</t>
  </si>
  <si>
    <t>low-density lipoprotein receptor-related protein 5-like(LOC106573620)</t>
  </si>
  <si>
    <t>ENSSSAG00000044156</t>
  </si>
  <si>
    <t>phosphatidylinositol 4,5-bisphosphate 3-kinase catalytic subunit(LOC106581359)</t>
  </si>
  <si>
    <t>ENSSSAG00000043463</t>
  </si>
  <si>
    <t>V-type proton ATPase subunit C 1-A(LOC106605527)</t>
  </si>
  <si>
    <t>ENSSSAG00000104675</t>
  </si>
  <si>
    <t>frizzled-4(LOC106581418)</t>
  </si>
  <si>
    <t>ENSSSAG00000073814</t>
  </si>
  <si>
    <t>v-akt murine thymoma viral oncogene homolog 3a(akt3a)</t>
  </si>
  <si>
    <t>ENSSSAG00000110143</t>
  </si>
  <si>
    <t>CAP-Gly domain-containing linker protein 1(LOC106561138)</t>
  </si>
  <si>
    <t>ENSSSAG00000056654</t>
  </si>
  <si>
    <t>frizzled-6(LOC106578482)</t>
  </si>
  <si>
    <t>ENSSSAG00000042939</t>
  </si>
  <si>
    <t>GATOR complex protein MIOS-like(LOC106582151)</t>
  </si>
  <si>
    <t>ENSSSAG00000056892</t>
  </si>
  <si>
    <t>GATOR complex protein WDR24(LOC106579219)</t>
  </si>
  <si>
    <t>ENSSSAG00000087757</t>
  </si>
  <si>
    <t>phosphatidylinositol 3-kinase regulatory subunit gamma-like(LOC106573900)</t>
  </si>
  <si>
    <t>ENSSSAG00000077150</t>
  </si>
  <si>
    <t>ribosomal protein S6 kinase alpha-3-like(LOC106590479)</t>
  </si>
  <si>
    <t>ENSSSAG00000090804</t>
  </si>
  <si>
    <t>rho-related GTP-binding protein RhoA-C(LOC106566835)</t>
  </si>
  <si>
    <t>ENSSSAG00000078121</t>
  </si>
  <si>
    <t>growth factor receptor-bound protein 10-like(LOC106588785)</t>
  </si>
  <si>
    <t>ENSSSAG00000068716</t>
  </si>
  <si>
    <t>S-phase kinase-associated protein 2-like(LOC106568170)</t>
  </si>
  <si>
    <t>ENSSSAG00000063388</t>
  </si>
  <si>
    <t>GTPase KRas(rask)</t>
  </si>
  <si>
    <t>ENSSSAG00000065440</t>
  </si>
  <si>
    <t>RAC-gamma serine/threonine-protein kinase-like(LOC106564869)</t>
  </si>
  <si>
    <t>ENSSSAG00000067620</t>
  </si>
  <si>
    <t>eukaryotic translation initiation factor 4B(LOC100380867)</t>
  </si>
  <si>
    <t>ENSSSAG00000069400</t>
  </si>
  <si>
    <t>ribosomal protein S6 kinase beta-1-like(LOC106567964)</t>
  </si>
  <si>
    <t>ENSSSAG00000068795</t>
  </si>
  <si>
    <t>rapamycin-insensitive companion of mTOR-like(LOC106568168)</t>
  </si>
  <si>
    <t>ENSSSAG00000077705</t>
  </si>
  <si>
    <t>calcium-binding protein 39-like(LOC106575510)</t>
  </si>
  <si>
    <t>ENSSSAG00000031718</t>
  </si>
  <si>
    <t>phosphatidylinositol 3-kinase regulatory subunit alpha-like(LOC106563018)</t>
  </si>
  <si>
    <t>ENSSSAG00000047179</t>
  </si>
  <si>
    <t>regulatory-associated protein of mTOR(LOC106588110)</t>
  </si>
  <si>
    <t>ENSSSAG00000075007</t>
  </si>
  <si>
    <t>protein Wnt-3a(LOC106599872)</t>
  </si>
  <si>
    <t>ENSSSAG00000068681</t>
  </si>
  <si>
    <t>Eukaryotic translation initiation factor 4E(if4e)</t>
  </si>
  <si>
    <t>ENSSSAG00000001575</t>
  </si>
  <si>
    <t>RAC-gamma serine/threonine-protein kinase-like(LOC106585772)</t>
  </si>
  <si>
    <t>ENSSSAG00000065291</t>
  </si>
  <si>
    <t>serine/threonine-protein kinase STK11-like(LOC106573605)</t>
  </si>
  <si>
    <t>ENSSSAG00000055476</t>
  </si>
  <si>
    <t>ras homolog enriched in brain(rheb)</t>
  </si>
  <si>
    <t>ENSSSAG00000039308</t>
  </si>
  <si>
    <t>son of sevenless homolog 2-like(LOC106611443)</t>
  </si>
  <si>
    <t>ENSSSAG00000115585</t>
  </si>
  <si>
    <t>Vacuolar proton pump subunit H(vath)</t>
  </si>
  <si>
    <t>ENSSSAG00000077280</t>
  </si>
  <si>
    <t>solute carrier family 3 member 2b(slc3a2b)</t>
  </si>
  <si>
    <t>ENSSSAG00000037403</t>
  </si>
  <si>
    <t>growth factor receptor-bound protein 10-like(LOC106579904)</t>
  </si>
  <si>
    <t>ENSSSAG00000076906</t>
  </si>
  <si>
    <t>rho-related GTP-binding protein RhoA-B(LOC106566794)</t>
  </si>
  <si>
    <t>ENSSSAG00000103240</t>
  </si>
  <si>
    <t>uncharacterized LOC106601546(LOC106601546)</t>
  </si>
  <si>
    <t>ENSSSAG00000039035</t>
  </si>
  <si>
    <t>V-type proton ATPase subunit H(LOC106595987)</t>
  </si>
  <si>
    <t>ENSSSAG00000099686</t>
  </si>
  <si>
    <t>v-Ki-ras2 Kirsten rat sarcoma viral oncogene homolog(kras)</t>
  </si>
  <si>
    <t>ENSSSAG00000073990</t>
  </si>
  <si>
    <t>phosphoinositide-3-kinase, regulatory subunit 1 (alpha)(pik3r1)</t>
  </si>
  <si>
    <t>ENSSSAG00000070363</t>
  </si>
  <si>
    <t>v-akt murine thymoma viral oncogene homolog 2(LOC100194605)</t>
  </si>
  <si>
    <t>ENSSSAG00000008233</t>
  </si>
  <si>
    <t>ATPase H+ transporting V1 subunit Ab(atp6v1ab)</t>
  </si>
  <si>
    <t>ENSSSAG00000031333</t>
  </si>
  <si>
    <t>STE20-related kinase adapter protein beta(LOC106574923)</t>
  </si>
  <si>
    <t>ENSSSAG00000008359</t>
  </si>
  <si>
    <t>folliculin-like(LOC106577129)</t>
  </si>
  <si>
    <t>ENSSSAG00000009841</t>
  </si>
  <si>
    <t>ribosomal protein S6 kinase alpha-2(LOC106612512)</t>
  </si>
  <si>
    <t>ENSSSAG00000064338</t>
  </si>
  <si>
    <t>TELO2 interacting protein 1(tti1)</t>
  </si>
  <si>
    <t>ENSSSAG00000038645</t>
  </si>
  <si>
    <t>ribosomal protein S6 kinase beta-1-like(LOC106581130)</t>
  </si>
  <si>
    <t>ENSSSAG00000063882</t>
  </si>
  <si>
    <t>GATOR complex protein NPRL3-like(LOC106601082)</t>
  </si>
  <si>
    <t>ENSSSAG00000089475</t>
  </si>
  <si>
    <t>frizzled-10-like(LOC106585529)</t>
  </si>
  <si>
    <t>ENSSSAG00000085395</t>
  </si>
  <si>
    <t>RAC-beta serine/threonine-protein kinase(LOC106613111)</t>
  </si>
  <si>
    <t>ENSSSAG00000044371</t>
  </si>
  <si>
    <t>inhibitor of nuclear factor kappa-B kinase subunit alpha(LOC106579286)</t>
  </si>
  <si>
    <t>ENSSSAG00000110636</t>
  </si>
  <si>
    <t>mitogen-activated protein kinase kinase 2b(map2k2b)</t>
  </si>
  <si>
    <t>ENSSSAG00000070332</t>
  </si>
  <si>
    <t>protein kinase, AMP-activated, alpha 1 catalytic subunit(LOC106562970)</t>
  </si>
  <si>
    <t>ENSSSAG00000066081</t>
  </si>
  <si>
    <t>ras-related GTP binding D(rragd)</t>
  </si>
  <si>
    <t>ENSSSAG00000096966</t>
  </si>
  <si>
    <t>ENSSSAG00000086371</t>
  </si>
  <si>
    <t>insulin-like growth factor 1b receptor(igf1rb)</t>
  </si>
  <si>
    <t>ENSSSAG00000051579</t>
  </si>
  <si>
    <t>rho-related GTP-binding protein RhoA-D(LOC106582735)</t>
  </si>
  <si>
    <t>ENSSSAG00000080426</t>
  </si>
  <si>
    <t>transforming protein RhoA(LOC106565140)</t>
  </si>
  <si>
    <t>ENSSSAG00000015372</t>
  </si>
  <si>
    <t>ribosomal protein S6 kinase alpha-2(LOC106589820)</t>
  </si>
  <si>
    <t>ENSSSAG00000075500</t>
  </si>
  <si>
    <t>CAP-Gly domain-containing linker protein 1-like(LOC106585282)</t>
  </si>
  <si>
    <t>ENSSSAG00000076313</t>
  </si>
  <si>
    <t>phosphatidylinositol 3,4,5-trisphosphate 3-phosphatase and dual-specificity protein phosphatase PTEN(LOC106607213)</t>
  </si>
  <si>
    <t>ENSSSAG00000098985</t>
  </si>
  <si>
    <t>late endosomal/lysosomal adaptor, MAPK and MTOR activator 5(lamtor5)</t>
  </si>
  <si>
    <t>ENSSSAG00000057099</t>
  </si>
  <si>
    <t>RHEB like 1(LOC106583224)</t>
  </si>
  <si>
    <t>ENSSSAG00000074496</t>
  </si>
  <si>
    <t>Tumor necrosis factor receptor superfamily member 1A(tnr1a)</t>
  </si>
  <si>
    <t>ENSSSAG00000077020</t>
  </si>
  <si>
    <t>V-type proton ATPase catalytic subunit A(LOC106590474)</t>
  </si>
  <si>
    <t>ENSSSAG00000110593</t>
  </si>
  <si>
    <t>mitogen-activated protein kinase 1(LOC106592057)</t>
  </si>
  <si>
    <t>ENSSSAG00000068824</t>
  </si>
  <si>
    <t>son of sevenless homolog 1(LOC106564790)</t>
  </si>
  <si>
    <t>ENSSSAG00000046140</t>
  </si>
  <si>
    <t>regulatory-associated protein of mTOR(LOC106564921)</t>
  </si>
  <si>
    <t>ENSSSAG00000086478</t>
  </si>
  <si>
    <t>STE20-related kinase adapter protein beta-like(LOC106573852)</t>
  </si>
  <si>
    <t>ENSSSAG00000047230</t>
  </si>
  <si>
    <t>V-type proton ATPase subunit E 1(LOC106576269)</t>
  </si>
  <si>
    <t>ENSSSAG00000042174</t>
  </si>
  <si>
    <t>ras-related GTP-binding protein C-like(LOC106605136)</t>
  </si>
  <si>
    <t>ENSSSAG00000046893</t>
  </si>
  <si>
    <t>insulin receptor b(insrb)</t>
  </si>
  <si>
    <t>ENSSSAG00000002358</t>
  </si>
  <si>
    <t>protein Wnt-8a(LOC106604409)</t>
  </si>
  <si>
    <t>ENSSSAG00000044993</t>
  </si>
  <si>
    <t>tumor necrosis factor alpha(LOC100136509)</t>
  </si>
  <si>
    <t>ENSSSAG00000108034</t>
  </si>
  <si>
    <t>ragulator complex protein LAMTOR1(LOC106613227)</t>
  </si>
  <si>
    <t>ENSSSAG00000092192</t>
  </si>
  <si>
    <t>insulin receptor substrate 1-B(LOC106608778)</t>
  </si>
  <si>
    <t>ENSSSAG00000005984</t>
  </si>
  <si>
    <t>phosphatidylinositol-4,5-bisphosphate 3-kinase, catalytic subunit delta(pik3cd)</t>
  </si>
  <si>
    <t>ENSSSAG00000055488</t>
  </si>
  <si>
    <t>RAC-beta serine/threonine-protein kinase(LOC106602915)</t>
  </si>
  <si>
    <t>ENSSSAG00000041805</t>
  </si>
  <si>
    <t>GTPase HRas(LOC106601908)</t>
  </si>
  <si>
    <t>Heart up</t>
  </si>
  <si>
    <t>ENSSSAG00000068518</t>
  </si>
  <si>
    <t>large neutral amino acids transporter small subunit 1(LOC106572151)</t>
  </si>
  <si>
    <t>ENSSSAG00000062930</t>
  </si>
  <si>
    <t>frizzled-3-like(LOC106610748)</t>
  </si>
  <si>
    <t>ENSSSAG00000100332</t>
  </si>
  <si>
    <t>Eukaryotic translation initiation factor 4E type 2(if4e2)</t>
  </si>
  <si>
    <t>ENSSSAG00000083105</t>
  </si>
  <si>
    <t>protein Wnt-7a(LOC106571899)</t>
  </si>
  <si>
    <t>ENSSSAG00000067794</t>
  </si>
  <si>
    <t>protein Wnt-10b-like(LOC106572675)</t>
  </si>
  <si>
    <t>ENSSSAG00000071257</t>
  </si>
  <si>
    <t>phosphatidylinositol-4,5-bisphosphate 3-kinase, catalytic subunit alpha(pik3ca)</t>
  </si>
  <si>
    <t>ENSSSAG00000071907</t>
  </si>
  <si>
    <t>rapamycin-insensitive companion of mTOR-like(LOC106580589)</t>
  </si>
  <si>
    <t>ENSSSAG00000042015</t>
  </si>
  <si>
    <t>3-phosphoinositide-dependent protein kinase 1-like(LOC106578264)</t>
  </si>
  <si>
    <t>ENSSSAG00000092832</t>
  </si>
  <si>
    <t>protein Wnt-3a(LOC106569341)</t>
  </si>
  <si>
    <t>ENSSSAG00000053783</t>
  </si>
  <si>
    <t>tumor necrosis factor alpha-2 precursor(tnf-alpha-2)</t>
  </si>
  <si>
    <t>ENSSSAG00000057025</t>
  </si>
  <si>
    <t>protein Wnt-6(LOC106581837)</t>
  </si>
  <si>
    <t>ENSSSAG00000070070</t>
  </si>
  <si>
    <t>wingless-type MMTV integration site family member 2(wnt2)</t>
  </si>
  <si>
    <t>ENSSSAG00000078764</t>
  </si>
  <si>
    <t>ATPase H+ transporting V1 subunit G1(atp6v1g1)</t>
  </si>
  <si>
    <t>ENSSSAG00000081195</t>
  </si>
  <si>
    <t>dual specificity mitogen-activated protein kinase kinase 2-like(LOC106600441)</t>
  </si>
  <si>
    <t>ENSSSAG00000007302</t>
  </si>
  <si>
    <t>rho-related GTP-binding protein RhoA-C(LOC106572042)</t>
  </si>
  <si>
    <t>ENSSSAG00000114958</t>
  </si>
  <si>
    <t>protein Wnt-8b-like(LOC106577209)</t>
  </si>
  <si>
    <t>ENSSSAG00000105288</t>
  </si>
  <si>
    <t>proto-oncogene Wnt-3(LOC106589299)</t>
  </si>
  <si>
    <t>ENSSSAG00000006438</t>
  </si>
  <si>
    <t>eukaryotic translation initiation factor 4E family member 1B(eif4e1b)</t>
  </si>
  <si>
    <t>Brain down</t>
  </si>
  <si>
    <t>ENSSSAG00000009421</t>
  </si>
  <si>
    <t>SMP2 and LNS2 domain-containing protein(zgc:123305)</t>
  </si>
  <si>
    <t>ENSSSAG00000015667</t>
  </si>
  <si>
    <t>Raf-1 proto-oncogene, serine/threonine kinase b(raf1b)</t>
  </si>
  <si>
    <t>ENSSSAG00000064436</t>
  </si>
  <si>
    <t>protein Wnt-9b-like(LOC106607324)</t>
  </si>
  <si>
    <t>ENSSSAG00000077501</t>
  </si>
  <si>
    <t>proto-oncogene Wnt-3-like(LOC106579325)</t>
  </si>
  <si>
    <t>ENSSSAG00000090440</t>
  </si>
  <si>
    <t>wingless-type MMTV integration site family, member 1(wnt1)</t>
  </si>
  <si>
    <t>ENSSSAG00000052281</t>
  </si>
  <si>
    <t>frizzled-5-like(LOC106574888)</t>
  </si>
  <si>
    <t>ENSSSAG00000118892</t>
  </si>
  <si>
    <t>protein Wnt-4a(LOC106565616)</t>
  </si>
  <si>
    <t>ENSSSAG00000098279</t>
  </si>
  <si>
    <t>protein Wnt-7a(LOC106566606)</t>
  </si>
  <si>
    <t>ENSSSAG00000001801</t>
  </si>
  <si>
    <t>mitogen-activated protein kinase 1(LOC106600714)</t>
  </si>
  <si>
    <t>ENSSSAG00000066553</t>
  </si>
  <si>
    <t>protein Wnt-16(LOC106576171)</t>
  </si>
  <si>
    <t>ENSSSAG00000054084</t>
  </si>
  <si>
    <t>protein Wnt-8b(LOC106608511)</t>
  </si>
  <si>
    <t>ENSSSAG00000046217</t>
  </si>
  <si>
    <t>GATOR complex protein WDR24(LOC106578258)</t>
  </si>
  <si>
    <t>ENSSSAG00000069372</t>
  </si>
  <si>
    <t>wingless-type MMTV integration site family, member 10b(wnt10b)</t>
  </si>
  <si>
    <t>ENSSSAG00000038616</t>
  </si>
  <si>
    <t>calcium binding protein 39, like 1(cab39l1)</t>
  </si>
  <si>
    <t>ENSSSAG00000106504</t>
  </si>
  <si>
    <t>wingless-type MMTV integration site family, member 5a(wnt5a)</t>
  </si>
  <si>
    <t>ENSSSAG00000064739</t>
  </si>
  <si>
    <t>protein Wnt-2b-A(LOC106566047)</t>
  </si>
  <si>
    <t>ENSSSAG00000044252</t>
  </si>
  <si>
    <t>frizzled class receptor 3a(fzd3a)</t>
  </si>
  <si>
    <t>ENSSSAG00000090697</t>
  </si>
  <si>
    <t>protein Wnt-16(LOC106609305)</t>
  </si>
  <si>
    <t>Brain up</t>
  </si>
  <si>
    <t>Liver down</t>
  </si>
  <si>
    <t>ENSSSAG00000105539</t>
  </si>
  <si>
    <t>large neutral amino acids transporter small subunit 1-like(LOC106587978)</t>
  </si>
  <si>
    <t>ENSSSAG00000061388</t>
  </si>
  <si>
    <t>wingless-type MMTV integration site family, member 4b(wnt4b)</t>
  </si>
  <si>
    <t>Liver up</t>
  </si>
  <si>
    <t>ID</t>
  </si>
  <si>
    <t>CHROMOSOME</t>
  </si>
  <si>
    <t>GENERIF_SUMMARY</t>
  </si>
  <si>
    <t>UP_COMMENT_ACTIVITY_REGULATION</t>
  </si>
  <si>
    <t>UP_COMMENT_CATALYTIC_ACTIVITY</t>
  </si>
  <si>
    <t>UP_COMMENT_COFACTOR</t>
  </si>
  <si>
    <t>UP_COMMENT_FUNCTION</t>
  </si>
  <si>
    <t>UP_COMMENT_PATHWAY</t>
  </si>
  <si>
    <t>UP_COMMENT_SIMILARITY</t>
  </si>
  <si>
    <t>UP_COMMENT_SUBCELLULAR_LOCATION</t>
  </si>
  <si>
    <t>UP_COMMENT_SUBUNIT</t>
  </si>
  <si>
    <t>ssa19,</t>
  </si>
  <si>
    <t>Reaction=ATP + L-seryl-[protein] = ADP + H(+) + O-phospho-L-seryl-   [protein]; Xref=Rhea:RHEA:17989, Rhea:RHEA-COMP:9863, Rhea:RHEA-   COMP:11604, ChEBI:CHEBI:15378, ChEBI:CHEBI:29999, ChEBI:CHEBI:30616,   ChEBI:CHEBI:83421, ChEBI:CHEBI:456216; EC=2.7.11.1;   Evidence={ECO:0000256|ARBA:ARBA00001433};,Reaction=ATP + L-threonyl-[protein] = ADP + H(+) + O-phospho-L-   threonyl-[protein]; Xref=Rhea:RHEA:46608, Rhea:RHEA-COMP:11060,   Rhea:RHEA-COMP:11605, ChEBI:CHEBI:15378, ChEBI:CHEBI:30013,   ChEBI:CHEBI:30616, ChEBI:CHEBI:61977, ChEBI:CHEBI:456216;   EC=2.7.11.1; Evidence={ECO:0000256|ARBA:ARBA00000775};,</t>
  </si>
  <si>
    <t>Belongs to the protein kinase superfamily. AGC Ser/Thr protein kinase family. PDPK1 subfamily. {ECO:0000256|ARBA:ARBA00010006}.,</t>
  </si>
  <si>
    <t>106578264, 106578264</t>
  </si>
  <si>
    <t>106602804, 106602804</t>
  </si>
  <si>
    <t>ssa04,</t>
  </si>
  <si>
    <t>Belongs to the eukaryotic ribosomal protein eS6 family. {ECO:0000256|ARBA:ARBA00009312, ECO:0000256|PIRNR:PIRNR002129}.,Belongs to the eukaryotic ribosomal protein eS6 family. {ECO:0000256|ARBA:ARBA00009312}.,</t>
  </si>
  <si>
    <t>106609995, 106609995</t>
  </si>
  <si>
    <t>ssa08,</t>
  </si>
  <si>
    <t>ssa07,</t>
  </si>
  <si>
    <t>106563501, 106563501</t>
  </si>
  <si>
    <t>ssa11,</t>
  </si>
  <si>
    <t>106578137, 106578137</t>
  </si>
  <si>
    <t>ssa18,</t>
  </si>
  <si>
    <t>106568674, 106568674</t>
  </si>
  <si>
    <t>ssa01,</t>
  </si>
  <si>
    <t>ssa10,</t>
  </si>
  <si>
    <t>Reaction=ATP + L-seryl-[3-hydroxy-3-methylglutaryl-coenzyme A   reductase] = ADP + H(+) + O-phospho-L-seryl-[3-hydroxy-3-   methylglutaryl-coenzyme A reductase]; Xref=Rhea:RHEA:23172,   Rhea:RHEA-COMP:13692, Rhea:RHEA-COMP:13693, ChEBI:CHEBI:15378,   ChEBI:CHEBI:29999, ChEBI:CHEBI:30616, ChEBI:CHEBI:83421,   ChEBI:CHEBI:456216; EC=2.7.11.31;   Evidence={ECO:0000256|ARBA:ARBA00023941};,Reaction=ATP + L-seryl-[acetyl-CoA carboxylase] = ADP + H(+) + O-   phospho-L-seryl-[acetyl-CoA carboxylase]; Xref=Rhea:RHEA:20333,   Rhea:RHEA-COMP:13722, Rhea:RHEA-COMP:13723, ChEBI:CHEBI:15378,   ChEBI:CHEBI:29999, ChEBI:CHEBI:30616, ChEBI:CHEBI:83421,   ChEBI:CHEBI:456216; Evidence={ECO:0000256|ARBA:ARBA00036863};,</t>
  </si>
  <si>
    <t>Belongs to the protein kinase superfamily. CAMK Ser/Thr protein kinase family. SNF1 subfamily. {ECO:0000256|ARBA:ARBA00006234}.,</t>
  </si>
  <si>
    <t>106579446, 106579446</t>
  </si>
  <si>
    <t>Reaction=ATP + 4 H(+)(in) + H2O = ADP + 5 H(+)(out) + phosphate;   Xref=Rhea:RHEA:57720, ChEBI:CHEBI:15377, ChEBI:CHEBI:15378,   ChEBI:CHEBI:30616, ChEBI:CHEBI:43474, ChEBI:CHEBI:456216; EC=7.1.2.2;   Evidence={ECO:0000256|ARBA:ARBA00001741};,</t>
  </si>
  <si>
    <t>Belongs to the ATPase alpha/beta chains family. {ECO:0000256|ARBA:ARBA00008936}.,</t>
  </si>
  <si>
    <t>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{ECO:0000256|RuleBase:RU364019}.,</t>
  </si>
  <si>
    <t>Belongs to the V-ATPase G subunit family. {ECO:0000256|ARBA:ARBA00010066, ECO:0000256|RuleBase:RU364019}.,Belongs to the V-ATPase G subunit family. {ECO:0000256|ARBA:ARBA00010066}.,</t>
  </si>
  <si>
    <t>V-ATPase is a heteromultimeric enzyme made up of two complexes: the ATP-hydrolytic V1 complex and the proton translocation V0 complex. {ECO:0000256|RuleBase:RU364019}.,</t>
  </si>
  <si>
    <t>Non-catalytic subunit of the V1 complex of vacuolar(H+)- 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{ECO:0000256|RuleBase:RU366021}.,</t>
  </si>
  <si>
    <t>Belongs to the ATPase alpha/beta chains family. {ECO:0000256|ARBA:ARBA00008936, ECO:0000256|RuleBase:RU366021}.,</t>
  </si>
  <si>
    <t>Apical cell membrane {ECO:0000256|ARBA:ARBA00004221}. Cell membrane {ECO:0000256|ARBA:ARBA00004236}. Cytoplasmic vesicle, secretory vesicle, synaptic vesicle membrane {ECO:0000256|ARBA:ARBA00037827}; Peripheral membrane protein {ECO:0000256|ARBA:ARBA00037827}. Melanosome {ECO:0000256|ARBA:ARBA00004223}.,</t>
  </si>
  <si>
    <t>V-ATPase is a heteromultimeric enzyme made up of two complexes: the ATP-hydrolytic V1 complex and the proton translocation V0 complex. The V1 complex consists of three catalytic AB heterodimers that form a heterohexamer, three peripheral stalks each consisting of EG heterodimers, one central rotor including subunits D and F, and the regulatory subunits C and H. The proton translocation complex V0 consists of the proton transport subunit a, a ring of proteolipid subunits c9c'', rotary subunit d, subunits e and f, and the accessory subunits. {ECO:0000256|RuleBase:RU366021}.,</t>
  </si>
  <si>
    <t>106580364, 106580364</t>
  </si>
  <si>
    <t>ssa20,</t>
  </si>
  <si>
    <t>ssa24,</t>
  </si>
  <si>
    <t>106564929, 106564929, 106564929</t>
  </si>
  <si>
    <t>106572931, 106572931</t>
  </si>
  <si>
    <t>ssa05,</t>
  </si>
  <si>
    <t>106582886, 106582886, 106582886</t>
  </si>
  <si>
    <t>ssa22,</t>
  </si>
  <si>
    <t>106577211, 106577211</t>
  </si>
  <si>
    <t>Belongs to the DDIT4 family. {ECO:0000256|ARBA:ARBA00010670}.,</t>
  </si>
  <si>
    <t>Mitochondrion {ECO:0000256|ARBA:ARBA00004173}.,</t>
  </si>
  <si>
    <t>100194780, 100194780</t>
  </si>
  <si>
    <t>ssa23,</t>
  </si>
  <si>
    <t>Reaction=ATP + L-seryl-[protein] = ADP + H(+) + O-phospho-L-seryl-   [protein]; Xref=Rhea:RHEA:17989, Rhea:RHEA-COMP:9863, Rhea:RHEA-   COMP:11604, ChEBI:CHEBI:15378, ChEBI:CHEBI:29999, ChEBI:CHEBI:30616,   ChEBI:CHEBI:83421, ChEBI:CHEBI:456216; EC=2.7.12.2;   Evidence={ECO:0000256|ARBA:ARBA00036883};,Reaction=ATP + L-threonyl-[protein] = ADP + H(+) + O-phospho-L-   threonyl-[protein]; Xref=Rhea:RHEA:46608, Rhea:RHEA-COMP:11060,   Rhea:RHEA-COMP:11605, ChEBI:CHEBI:15378, ChEBI:CHEBI:30013,   ChEBI:CHEBI:30616, ChEBI:CHEBI:61977, ChEBI:CHEBI:456216;   EC=2.7.12.2; Evidence={ECO:0000256|ARBA:ARBA00036524};,Reaction=ATP + L-tyrosyl-[protein] = ADP + H(+) + O-phospho-L-tyrosyl-   [protein]; Xref=Rhea:RHEA:10596, Rhea:RHEA-COMP:10136, Rhea:RHEA-   COMP:10137, ChEBI:CHEBI:15378, ChEBI:CHEBI:30616, ChEBI:CHEBI:46858,   ChEBI:CHEBI:82620, ChEBI:CHEBI:456216; EC=2.7.12.2;   Evidence={ECO:0000256|ARBA:ARBA00035978};,</t>
  </si>
  <si>
    <t>Belongs to the protein kinase superfamily. STE Ser/Thr protein kinase family. MAP kinase kinase subfamily. {ECO:0000256|ARBA:ARBA00038035}.,</t>
  </si>
  <si>
    <t>Reaction=S-ubiquitinyl-[E2 ubiquitin-conjugating enzyme]-L-cysteine +   [acceptor protein]-L-lysine = [E2 ubiquitin-conjugating enzyme]-L-   cysteine + N(6)-ubiquitinyl-[acceptor protein]-L-lysine.;   EC=2.3.2.27; Evidence={ECO:0000256|ARBA:ARBA00000900};,</t>
  </si>
  <si>
    <t>Protein modification; protein ubiquitination. {ECO:0000256|ARBA:ARBA00004906}.,</t>
  </si>
  <si>
    <t>Belongs to the RNF152 family. {ECO:0000256|ARBA:ARBA00007082}.,</t>
  </si>
  <si>
    <t>Lysosome membrane {ECO:0000256|ARBA:ARBA00004363}; Single-pass membrane protein {ECO:0000256|ARBA:ARBA00004363}. Membrane {ECO:0000256|ARBA:ARBA00004167}; Single-pass membrane protein {ECO:0000256|ARBA:ARBA00004167}.,</t>
  </si>
  <si>
    <t>106590060, 106590060</t>
  </si>
  <si>
    <t>ssa29,</t>
  </si>
  <si>
    <t>Belongs to the eukaryotic initiation factor 4E family. {ECO:0000256|RuleBase:RU004374}.,</t>
  </si>
  <si>
    <t>106605261, 106605261</t>
  </si>
  <si>
    <t>Belongs to the WD repeat mio family. {ECO:0000256|ARBA:ARBA00009713}.,</t>
  </si>
  <si>
    <t>106607369, 106607369</t>
  </si>
  <si>
    <t>ssa06,</t>
  </si>
  <si>
    <t>As a component of the GATOR1 complex functions as an inhibitor of the amino acid-sensing branch of the TORC1 pathway. {ECO:0000256|RuleBase:RU368069}.,</t>
  </si>
  <si>
    <t>Belongs to the NPR3 family. {ECO:0000256|ARBA:ARBA00010546, ECO:0000256|RuleBase:RU368069}.,</t>
  </si>
  <si>
    <t>Lysosome {ECO:0000256|RuleBase:RU368069}.,</t>
  </si>
  <si>
    <t>Belongs to the WD repeat WDR24 family. {ECO:0000256|ARBA:ARBA00008134}.,</t>
  </si>
  <si>
    <t>106592571, 106592571, 106592571</t>
  </si>
  <si>
    <t>ssa14,</t>
  </si>
  <si>
    <t>ssa03,</t>
  </si>
  <si>
    <t>106573361, 106573361</t>
  </si>
  <si>
    <t>ssa16,</t>
  </si>
  <si>
    <t>Reaction=GTP + H2O = GDP + H(+) + phosphate; Xref=Rhea:RHEA:19669,   ChEBI:CHEBI:15377, ChEBI:CHEBI:15378, ChEBI:CHEBI:37565,   ChEBI:CHEBI:43474, ChEBI:CHEBI:58189; EC=3.6.5.2;   Evidence={ECO:0000256|ARBA:ARBA00023421};,</t>
  </si>
  <si>
    <t>Belongs to the small GTPase superfamily. Ras family. {ECO:0000256|ARBA:ARBA00008344}.,</t>
  </si>
  <si>
    <t>Cell membrane {ECO:0000256|ARBA:ARBA00004342}; Lipid-anchor {ECO:0000256|ARBA:ARBA00004342}; Cytoplasmic side {ECO:0000256|ARBA:ARBA00004342}. Golgi apparatus membrane {ECO:0000256|ARBA:ARBA00037794}; Lipid-anchor {ECO:0000256|ARBA:ARBA00037794}. Membrane {ECO:0000256|ARBA:ARBA00004423}; Lipid-anchor {ECO:0000256|ARBA:ARBA00004423}; Cytoplasmic side {ECO:0000256|ARBA:ARBA00004423}.,</t>
  </si>
  <si>
    <t>Ras proteins bind GDP/GTP and possess intrinsic GTPase activity. {ECO:0000256|ARBA:ARBA00037188}.,</t>
  </si>
  <si>
    <t>Golgi apparatus membrane {ECO:0000256|ARBA:ARBA00037794}; Lipid-anchor {ECO:0000256|ARBA:ARBA00037794}. Membrane {ECO:0000256|ARBA:ARBA00004423}; Lipid-anchor {ECO:0000256|ARBA:ARBA00004423}; Cytoplasmic side {ECO:0000256|ARBA:ARBA00004423}.,</t>
  </si>
  <si>
    <t>100196603, 100196603, 100196603</t>
  </si>
  <si>
    <t>100380437, 100380437</t>
  </si>
  <si>
    <t>Cell membrane {ECO:0000256|ARBA:ARBA00004342}; Lipid-anchor {ECO:0000256|ARBA:ARBA00004342}; Cytoplasmic side {ECO:0000256|ARBA:ARBA00004342}. Membrane {ECO:0000256|ARBA:ARBA00004423}; Lipid-anchor {ECO:0000256|ARBA:ARBA00004423}; Cytoplasmic side {ECO:0000256|ARBA:ARBA00004423}.,</t>
  </si>
  <si>
    <t>100380343, 100380343, 100380343</t>
  </si>
  <si>
    <t>Belongs to the SIN1 family. {ECO:0000256|ARBA:ARBA00009407}.,</t>
  </si>
  <si>
    <t>106589564, 106589564</t>
  </si>
  <si>
    <t>ssa28,</t>
  </si>
  <si>
    <t>Subunit of TORC1 and TORC2, which regulate cell growth and survival in response to nutrient and hormonal signals. {ECO:0000256|RuleBase:RU369068}.,</t>
  </si>
  <si>
    <t>Belongs to the WD repeat LST8 family. {ECO:0000256|ARBA:ARBA00009890, ECO:0000256|RuleBase:RU369068}.,</t>
  </si>
  <si>
    <t>Cytoplasm {ECO:0000256|RuleBase:RU369068}. Lysosome membrane {ECO:0000256|ARBA:ARBA00004656}.,</t>
  </si>
  <si>
    <t>Part of TORC1 complex. Part of the TORC2 complex. {ECO:0000256|RuleBase:RU369068}.,</t>
  </si>
  <si>
    <t>100380511, 100380511, 100380511</t>
  </si>
  <si>
    <t>Activated by threonine and tyrosine phosphorylation. {ECO:0000256|RuleBase:RU361165}.,</t>
  </si>
  <si>
    <t>Reaction=ATP + L-seryl-[protein] = ADP + H(+) + O-phospho-L-seryl-   [protein]; Xref=Rhea:RHEA:17989, Rhea:RHEA-COMP:9863, Rhea:RHEA-   COMP:11604, ChEBI:CHEBI:15378, ChEBI:CHEBI:29999, ChEBI:CHEBI:30616,   ChEBI:CHEBI:83421, ChEBI:CHEBI:456216; EC=2.7.11.24;   Evidence={ECO:0000256|ARBA:ARBA00000494};,Reaction=ATP + L-threonyl-[protein] = ADP + H(+) + O-phospho-L-   threonyl-[protein]; Xref=Rhea:RHEA:46608, Rhea:RHEA-COMP:11060,   Rhea:RHEA-COMP:11605, ChEBI:CHEBI:15378, ChEBI:CHEBI:30013,   ChEBI:CHEBI:30616, ChEBI:CHEBI:61977, ChEBI:CHEBI:456216;   EC=2.7.11.24; Evidence={ECO:0000256|ARBA:ARBA00000088,   ECO:0000256|RuleBase:RU361165};,</t>
  </si>
  <si>
    <t>Name=Mg(2+); Xref=ChEBI:CHEBI:18420;   Evidence={ECO:0000256|ARBA:ARBA00001946,   ECO:0000256|RuleBase:RU361165};,</t>
  </si>
  <si>
    <t>Belongs to the protein kinase superfamily. Ser/Thr protein kinase family. MAP kinase subfamily. {ECO:0000256|RuleBase:RU361165}.,</t>
  </si>
  <si>
    <t>Belongs to the NPR2 family. {ECO:0000256|ARBA:ARBA00008433}.,</t>
  </si>
  <si>
    <t>106571474, 106571474</t>
  </si>
  <si>
    <t>ssa15,</t>
  </si>
  <si>
    <t>Belongs to the protein kinase superfamily. AGC Ser/Thr protein kinase family. RAC subfamily. {ECO:0000256|ARBA:ARBA00006935}.,</t>
  </si>
  <si>
    <t>106582637, 106582637</t>
  </si>
  <si>
    <t>ssa09,</t>
  </si>
  <si>
    <t>106602915, 106602915</t>
  </si>
  <si>
    <t>106564869, 106564869</t>
  </si>
  <si>
    <t>ssa12,</t>
  </si>
  <si>
    <t>ssa02,</t>
  </si>
  <si>
    <t>ssa13,</t>
  </si>
  <si>
    <t>Reaction=ATP + L-seryl-[protein] = ADP + H(+) + O-phospho-L-seryl-   [protein]; Xref=Rhea:RHEA:17989, Rhea:RHEA-COMP:9863, Rhea:RHEA-   COMP:11604, ChEBI:CHEBI:15378, ChEBI:CHEBI:29999, ChEBI:CHEBI:30616,   ChEBI:CHEBI:83421, ChEBI:CHEBI:456216; EC=2.7.11.1;   Evidence={ECO:0000256|ARBA:ARBA00001127}; PhysiologicalDirection=left-to-right; Xref=Rhea:RHEA:17990;   Evidence={ECO:0000256|ARBA:ARBA00001127};,Reaction=ATP + L-threonyl-[protein] = ADP + H(+) + O-phospho-L-   threonyl-[protein]; Xref=Rhea:RHEA:46608, Rhea:RHEA-COMP:11060,   Rhea:RHEA-COMP:11605, ChEBI:CHEBI:15378, ChEBI:CHEBI:30013,   ChEBI:CHEBI:30616, ChEBI:CHEBI:61977, ChEBI:CHEBI:456216;   EC=2.7.11.1; Evidence={ECO:0000256|ARBA:ARBA00001416}; PhysiologicalDirection=left-to-right; Xref=Rhea:RHEA:46609;   Evidence={ECO:0000256|ARBA:ARBA00001416};,</t>
  </si>
  <si>
    <t>Name=Zn(2+); Xref=ChEBI:CHEBI:29105;   Evidence={ECO:0000256|ARBA:ARBA00001947};,</t>
  </si>
  <si>
    <t>Belongs to the protein kinase superfamily. TKL Ser/Thr protein kinase family. RAF subfamily. {ECO:0000256|ARBA:ARBA00010507}.,</t>
  </si>
  <si>
    <t>Cell membrane {ECO:0000256|ARBA:ARBA00004236}.,</t>
  </si>
  <si>
    <t>100196161, 100196161</t>
  </si>
  <si>
    <t>Guanine nucleotide-binding protein that plays a crucial role in the cellular response to amino acid availability through regulation of the mTORC1 signaling cascade. {ECO:0000256|RuleBase:RU367014}.,</t>
  </si>
  <si>
    <t>Belongs to the GTR/RAG GTP-binding protein family. {ECO:0000256|ARBA:ARBA00007756, ECO:0000256|RuleBase:RU367014}.,</t>
  </si>
  <si>
    <t>Cytoplasm {ECO:0000256|RuleBase:RU367014}. Lysosome {ECO:0000256|RuleBase:RU367014}.,</t>
  </si>
  <si>
    <t>106563829, 106563829</t>
  </si>
  <si>
    <t>100195739, 100195739</t>
  </si>
  <si>
    <t>Belongs to the WD repeat SEC13 family. {ECO:0000256|ARBA:ARBA00010102}.,</t>
  </si>
  <si>
    <t>Lysosome membrane {ECO:0000256|ARBA:ARBA00004656}. Nucleus, nuclear pore complex {ECO:0000256|ARBA:ARBA00004567}.,</t>
  </si>
  <si>
    <t>106606872, 106606872</t>
  </si>
  <si>
    <t>Pseudokinase which, in complex with CAB39/MO25 (CAB39/MO25alpha or CAB39L/MO25beta), binds to and activates STK11/LKB1. Adopts a closed conformation typical of active protein kinases and binds STK11/LKB1 as a pseudosubstrate, promoting conformational change of STK11/LKB1 in an active conformation. {ECO:0000256|ARBA:ARBA00034653}.,</t>
  </si>
  <si>
    <t>Belongs to the protein kinase superfamily. STE Ser/Thr protein kinase family. STE20 subfamily. {ECO:0000256|ARBA:ARBA00008874}.,</t>
  </si>
  <si>
    <t>Cytoplasm {ECO:0000256|ARBA:ARBA00004496}. Nucleus {ECO:0000256|ARBA:ARBA00004123}.,</t>
  </si>
  <si>
    <t>Component of a trimeric complex composed of STK11/LKB1, STRAD (STRADA or STRADB) and CAB39/MO25 (CAB39/MO25alpha or CAB39L/MO25beta): the complex tethers STK11/LKB1 in the cytoplasm and stimulates its catalytic activity. {ECO:0000256|ARBA:ARBA00011749}.,</t>
  </si>
  <si>
    <t>106584071, 106584071</t>
  </si>
  <si>
    <t>Cytoplasm, cytosol {ECO:0000256|ARBA:ARBA00004514}. Cytoplasmic vesicle {ECO:0000256|ARBA:ARBA00004541}. Lysosome membrane {ECO:0000256|ARBA:ARBA00004656}. Membrane {ECO:0000256|ARBA:ARBA00004370}. Vesicle {ECO:0000256|ARBA:ARBA00004373}.,</t>
  </si>
  <si>
    <t>106578250, 106578250</t>
  </si>
  <si>
    <t>Belongs to the TEL2 family. {ECO:0000256|ARBA:ARBA00006133}.,</t>
  </si>
  <si>
    <t>Cell membrane {ECO:0000256|ARBA:ARBA00004251}; Single-pass type I membrane protein {ECO:0000256|ARBA:ARBA00004251}.,</t>
  </si>
  <si>
    <t>100195496, 100195496</t>
  </si>
  <si>
    <t>106563593, 106563593, 106563593</t>
  </si>
  <si>
    <t>106590474, 106590474</t>
  </si>
  <si>
    <t>106603053, 106603053, 106603053</t>
  </si>
  <si>
    <t>100136392, 100136392, 100136392</t>
  </si>
  <si>
    <t>Belongs to the ATPase alpha/beta chains family. {ECO:0000256|ARBA:ARBA00008936, ECO:0000256|RuleBase:RU366021}.,Belongs to the ATPase alpha/beta chains family. {ECO:0000256|ARBA:ARBA00008936}.,</t>
  </si>
  <si>
    <t>106563054, 106563054</t>
  </si>
  <si>
    <t>106579140, 106579140</t>
  </si>
  <si>
    <t>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Subunit C is necessary for the assembly of the catalytic sector of the enzyme and is likely to have a specific function in its catalytic activity. {ECO:0000256|RuleBase:RU364010}.,</t>
  </si>
  <si>
    <t>Belongs to the V-ATPase C subunit family. {ECO:0000256|ARBA:ARBA00006138, ECO:0000256|RuleBase:RU364010}.,</t>
  </si>
  <si>
    <t>V-ATPase is a heteromultimeric enzyme made up of two complexes: the ATP-hydrolytic V1 complex and the proton translocation V0 complex. The V1 complex consists of three catalytic AB heterodimers that form a heterohexamer, three peripheral stalks each consisting of EG heterodimers, one central rotor including subunits D and F, and the regulatory subunits C and H. The proton translocation complex V0 consists of the proton transport subunit a, a ring of proteolipid subunits c9c'', rotary subunit d, subunits e and f, and two accessory subunits. {ECO:0000256|RuleBase:RU364010}.,</t>
  </si>
  <si>
    <t>106605527, 106605527</t>
  </si>
  <si>
    <t>106608215, 106608215</t>
  </si>
  <si>
    <t>Belongs to the V-ATPase D subunit family. {ECO:0000256|ARBA:ARBA00005850}.,</t>
  </si>
  <si>
    <t>Cytoplasmic vesicle, clathrin-coated vesicle membrane {ECO:0000256|ARBA:ARBA00029434}; Peripheral membrane protein {ECO:0000256|ARBA:ARBA00029434}.,</t>
  </si>
  <si>
    <t>106561370, 106561370, 106561370</t>
  </si>
  <si>
    <t>Belongs to the V-ATPase E subunit family. {ECO:0000256|ARBA:ARBA00005901}.,</t>
  </si>
  <si>
    <t>ssa17,</t>
  </si>
  <si>
    <t>106609471, 106609471, 106609471</t>
  </si>
  <si>
    <t>106609141, 106609141</t>
  </si>
  <si>
    <t>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{ECO:0000256|PIRNR:PIRNR015945}.,</t>
  </si>
  <si>
    <t>Belongs to the V-ATPase F subunit family. {ECO:0000256|ARBA:ARBA00010148, ECO:0000256|PIRNR:PIRNR015945}.,</t>
  </si>
  <si>
    <t>V-ATPase is a heteromultimeric enzyme made up of two complexes: the ATP-hydrolytic V1 complex and the proton translocation V0 complex. {ECO:0000256|PIRNR:PIRNR015945}.,</t>
  </si>
  <si>
    <t>106595987, 106595987</t>
  </si>
  <si>
    <t>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{ECO:0000256|PIRNR:PIRNR032184}.,</t>
  </si>
  <si>
    <t>Belongs to the V-ATPase H subunit family. {ECO:0000256|ARBA:ARBA00008613, ECO:0000256|PIRNR:PIRNR032184}.,Belongs to the V-ATPase H subunit family. {ECO:0000256|ARBA:ARBA00008613}.,</t>
  </si>
  <si>
    <t>V-ATPase is a heteromultimeric enzyme made up of two complexes: the ATP-hydrolytic V1 complex and the proton translocation V0 complex. {ECO:0000256|PIRNR:PIRNR032184}.,</t>
  </si>
  <si>
    <t>Belongs to the V-ATPase H subunit family. {ECO:0000256|ARBA:ARBA00008613, ECO:0000256|PIRNR:PIRNR032184}.,</t>
  </si>
  <si>
    <t>Component of a complex that binds and activates STK11/LKB1. In the complex, required to stabilize the interaction between CAB39/MO25 (CAB39/MO25alpha or CAB39L/MO25beta) and STK11/LKB1. {ECO:0000256|ARBA:ARBA00025206}.,</t>
  </si>
  <si>
    <t>Belongs to the Mo25 family. {ECO:0000256|ARBA:ARBA00011012}.,</t>
  </si>
  <si>
    <t>106581356, 106581356, 106581356</t>
  </si>
  <si>
    <t>106613169, 106613169</t>
  </si>
  <si>
    <t>106575554, 106575554</t>
  </si>
  <si>
    <t>106585238, 106585238</t>
  </si>
  <si>
    <t>Belongs to the GATS family. {ECO:0000256|ARBA:ARBA00006827}.,</t>
  </si>
  <si>
    <t>Cytoplasm, cytosol {ECO:0000256|ARBA:ARBA00004514}.,</t>
  </si>
  <si>
    <t>106567563, 106567563</t>
  </si>
  <si>
    <t>106603747, 106603747</t>
  </si>
  <si>
    <t>106567255, 106567255</t>
  </si>
  <si>
    <t>Belongs to the DSH family. {ECO:0000256|ARBA:ARBA00008735}.,</t>
  </si>
  <si>
    <t>106608773, 106608773</t>
  </si>
  <si>
    <t>100380867, 100380867</t>
  </si>
  <si>
    <t>106565230, 106565230, 106565230</t>
  </si>
  <si>
    <t>106566970, 106566970</t>
  </si>
  <si>
    <t>Belongs to the eIF4E-binding protein family. {ECO:0000256|ARBA:ARBA00005480}.,</t>
  </si>
  <si>
    <t>106600575, 106600575</t>
  </si>
  <si>
    <t>Belongs to the eukaryotic initiation factor 4E family. {ECO:0000256|ARBA:ARBA00009860, ECO:0000256|RuleBase:RU004374}.,</t>
  </si>
  <si>
    <t>106605767, 106605767</t>
  </si>
  <si>
    <t>Belongs to the folliculin family. {ECO:0000256|ARBA:ARBA00009987}.,</t>
  </si>
  <si>
    <t>Cell projection, cilium {ECO:0000256|ARBA:ARBA00004138}. Cytoplasm, cytoskeleton, microtubule organizing center, centrosome {ECO:0000256|ARBA:ARBA00004300}. Cytoplasm, cytoskeleton, spindle {ECO:0000256|ARBA:ARBA00004186}. Cytoplasm, cytosol {ECO:0000256|ARBA:ARBA00004514}. Lysosome membrane {ECO:0000256|ARBA:ARBA00004656}. Membrane {ECO:0000256|ARBA:ARBA00004370}. Nucleus {ECO:0000256|ARBA:ARBA00004123}.,</t>
  </si>
  <si>
    <t>106567520, 106567520</t>
  </si>
  <si>
    <t>Belongs to the FNIP family. {ECO:0000256|ARBA:ARBA00007541}.,</t>
  </si>
  <si>
    <t>Lysosome membrane {ECO:0000256|ARBA:ARBA00004656}. Membrane {ECO:0000256|ARBA:ARBA00004370}.,</t>
  </si>
  <si>
    <t>106579053, 106579053</t>
  </si>
  <si>
    <t>Belongs to the G-protein coupled receptor Fz/Smo family. {ECO:0000256|ARBA:ARBA00008077}.,</t>
  </si>
  <si>
    <t>Cell membrane {ECO:0000256|ARBA:ARBA00004651}; Multi-pass membrane protein {ECO:0000256|ARBA:ARBA00004651}. Membrane {ECO:0000256|ARBA:ARBA00004141}; Multi-pass membrane protein {ECO:0000256|ARBA:ARBA00004141}.,</t>
  </si>
  <si>
    <t>106605516, 106605516</t>
  </si>
  <si>
    <t>Membrane {ECO:0000256|ARBA:ARBA00004141}; Multi- pass membrane protein {ECO:0000256|ARBA:ARBA00004141}.,</t>
  </si>
  <si>
    <t>106607305, 106607305</t>
  </si>
  <si>
    <t>106608120, 106608120</t>
  </si>
  <si>
    <t>106582378, 106582378, 106582378</t>
  </si>
  <si>
    <t>ssa21,</t>
  </si>
  <si>
    <t>106586337, 106586337</t>
  </si>
  <si>
    <t>ssa25,</t>
  </si>
  <si>
    <t>Apical cell membrane {ECO:0000256|ARBA:ARBA00004424}; Multi-pass membrane protein {ECO:0000256|ARBA:ARBA00004424}. Cell membrane {ECO:0000256|ARBA:ARBA00004651}; Multi-pass membrane protein {ECO:0000256|ARBA:ARBA00004651}. Cell surface {ECO:0000256|ARBA:ARBA00004241}. Cytoplasmic vesicle membrane {ECO:0000256|ARBA:ARBA00004439}; Multi-pass membrane protein {ECO:0000256|ARBA:ARBA00004439}. Membrane {ECO:0000256|ARBA:ARBA00004141}; Multi-pass membrane protein {ECO:0000256|ARBA:ARBA00004141}.,</t>
  </si>
  <si>
    <t>106582548, 106582548</t>
  </si>
  <si>
    <t>106574245, 106574245</t>
  </si>
  <si>
    <t>106575172, 106575172</t>
  </si>
  <si>
    <t>Reaction=ATP + L-seryl-[tau protein] = ADP + H(+) + O-phospho-L-seryl-   [tau protein]; Xref=Rhea:RHEA:12801, Rhea:RHEA-COMP:13701, Rhea:RHEA-   COMP:13702, ChEBI:CHEBI:15378, ChEBI:CHEBI:29999, ChEBI:CHEBI:30616,   ChEBI:CHEBI:83421, ChEBI:CHEBI:456216; EC=2.7.11.26;   Evidence={ECO:0000256|ARBA:ARBA00023955};,Reaction=ATP + L-threonyl-[tau protein] = ADP + H(+) + O-phospho-L-   threonyl-[tau protein]; Xref=Rhea:RHEA:53904, Rhea:RHEA-COMP:13703,   Rhea:RHEA-COMP:13704, ChEBI:CHEBI:15378, ChEBI:CHEBI:30013,   ChEBI:CHEBI:30616, ChEBI:CHEBI:61977, ChEBI:CHEBI:456216;   EC=2.7.11.26; Evidence={ECO:0000256|ARBA:ARBA00023915};,</t>
  </si>
  <si>
    <t>Belongs to the protein kinase superfamily. CMGC Ser/Thr protein kinase family. GSK-3 subfamily. {ECO:0000256|ARBA:ARBA00005527}.,</t>
  </si>
  <si>
    <t>106575154, 106575154</t>
  </si>
  <si>
    <t>Belongs to the GRB7/10/14 family. {ECO:0000256|ARBA:ARBA00006708}.,</t>
  </si>
  <si>
    <t>106605415, 106605415</t>
  </si>
  <si>
    <t>Cytoplasm {ECO:0000256|ARBA:ARBA00004496}. Endosome {ECO:0000256|ARBA:ARBA00004177}. Golgi apparatus {ECO:0000256|ARBA:ARBA00004555}. Nucleus {ECO:0000256|ARBA:ARBA00004123}.,</t>
  </si>
  <si>
    <t>100306767, 100306767</t>
  </si>
  <si>
    <t>106564671, 106564671</t>
  </si>
  <si>
    <t>106587111, 106587111</t>
  </si>
  <si>
    <t>106580426, 106580426</t>
  </si>
  <si>
    <t>Reaction=ATP + L-seryl-[I-kappa-B protein] = ADP + H(+) + O-phospho-L-   seryl-[I-kappa-B protein]; Xref=Rhea:RHEA:19073, Rhea:RHEA-   COMP:13698, Rhea:RHEA-COMP:13699, ChEBI:CHEBI:15378,   ChEBI:CHEBI:29999, ChEBI:CHEBI:30616, ChEBI:CHEBI:83421,   ChEBI:CHEBI:456216; EC=2.7.11.10;   Evidence={ECO:0000256|ARBA:ARBA00023939};,</t>
  </si>
  <si>
    <t>Nucleus {ECO:0000256|ARBA:ARBA00004123}.,</t>
  </si>
  <si>
    <t>106579422, 106579422</t>
  </si>
  <si>
    <t>106600510, 106600510</t>
  </si>
  <si>
    <t>Reaction=ATP + L-tyrosyl-[protein] = ADP + H(+) + O-phospho-L-tyrosyl-   [protein]; Xref=Rhea:RHEA:10596, Rhea:RHEA-COMP:10136, Rhea:RHEA-   COMP:10137, ChEBI:CHEBI:15378, ChEBI:CHEBI:30616, ChEBI:CHEBI:46858,   ChEBI:CHEBI:82620, ChEBI:CHEBI:456216; EC=2.7.10.1;   Evidence={ECO:0000256|ARBA:ARBA00001171,   ECO:0000256|RuleBase:RU000312};,</t>
  </si>
  <si>
    <t>Name=Mn(2+); Xref=ChEBI:CHEBI:29035;   Evidence={ECO:0000256|ARBA:ARBA00001936};,</t>
  </si>
  <si>
    <t>Belongs to the protein kinase superfamily. Tyr protein kinase family. Insulin receptor subfamily. {ECO:0000256|RuleBase:RU000312}.,</t>
  </si>
  <si>
    <t>Membrane {ECO:0000256|ARBA:ARBA00004479}; Single- pass type I membrane protein {ECO:0000256|ARBA:ARBA00004479}.,</t>
  </si>
  <si>
    <t>106573762, 106573762, 106573762</t>
  </si>
  <si>
    <t>ssa26,</t>
  </si>
  <si>
    <t>100136517, 100136517</t>
  </si>
  <si>
    <t>22546511:The significance of the results was illustrated by normalizing liver transcript levels of insulin-like growth factor 1 (igf1) to ef1a transcript levels or ef1a transcript levels by RNA/DNA.,26144599:Findings show similar regulatory growth hormone (GH) and insulin-like growth factor 1 (IGF-1) responses in both Atlantic salmon and rainbow trout.,</t>
  </si>
  <si>
    <t>Belongs to the insulin family. {ECO:0000256|ARBA:ARBA00009034, ECO:0000256|RuleBase:RU000406}.,</t>
  </si>
  <si>
    <t>Secreted {ECO:0000256|RuleBase:RU000406}.,</t>
  </si>
  <si>
    <t>106609475, 106609475, 106609475</t>
  </si>
  <si>
    <t>106567382, 106567382, 106567382</t>
  </si>
  <si>
    <t>Belongs to the amino acid-polyamine-organocation (APC) superfamily. L-type amino acid transporter (LAT) (TC 2.A.3.8) family. {ECO:0000256|ARBA:ARBA00007040}.,</t>
  </si>
  <si>
    <t>Belongs to the LAMTOR1 family. {ECO:0000256|ARBA:ARBA00010861}.,</t>
  </si>
  <si>
    <t>Endosome membrane {ECO:0000256|ARBA:ARBA00004238}; Lipid-anchor {ECO:0000256|ARBA:ARBA00004238}; Cytoplasmic side {ECO:0000256|ARBA:ARBA00004238}. Late endosome membrane {ECO:0000256|ARBA:ARBA00004577}; Lipid-anchor {ECO:0000256|ARBA:ARBA00004577}; Cytoplasmic side {ECO:0000256|ARBA:ARBA00004577}. Lysosome membrane {ECO:0000256|ARBA:ARBA00004122}; Lipid-anchor {ECO:0000256|ARBA:ARBA00004122}; Cytoplasmic side {ECO:0000256|ARBA:ARBA00004122}.,</t>
  </si>
  <si>
    <t>100196036, 100196036</t>
  </si>
  <si>
    <t>Belongs to the LAMTOR5 family. {ECO:0000256|ARBA:ARBA00007795}.,</t>
  </si>
  <si>
    <t>Lysosome {ECO:0000256|ARBA:ARBA00004371}.,</t>
  </si>
  <si>
    <t>Reaction=a 1,2-diacyl-sn-glycero-3-phosphate + H2O = a 1,2-diacyl-sn-   glycerol + phosphate; Xref=Rhea:RHEA:27429, ChEBI:CHEBI:15377,   ChEBI:CHEBI:17815, ChEBI:CHEBI:43474, ChEBI:CHEBI:58608; EC=3.1.3.4;   Evidence={ECO:0000256|ARBA:ARBA00001180}; PhysiologicalDirection=left-to-right; Xref=Rhea:RHEA:27430;   Evidence={ECO:0000256|ARBA:ARBA00001180};,</t>
  </si>
  <si>
    <t>Name=Mg(2+); Xref=ChEBI:CHEBI:18420;   Evidence={ECO:0000256|ARBA:ARBA00001946};,</t>
  </si>
  <si>
    <t>Belongs to the lipin family. {ECO:0000256|ARBA:ARBA00005476}.,</t>
  </si>
  <si>
    <t>100380849, 100380849</t>
  </si>
  <si>
    <t>Reaction=ATP + L-seryl-[protein] = ADP + H(+) + O-phospho-L-seryl-   [protein]; Xref=Rhea:RHEA:17989, Rhea:RHEA-COMP:9863, Rhea:RHEA-   COMP:11604, ChEBI:CHEBI:15378, ChEBI:CHEBI:29999, ChEBI:CHEBI:30616,   ChEBI:CHEBI:83421, ChEBI:CHEBI:456216; EC=2.7.11.1;   Evidence={ECO:0000256|ARBA:ARBA00001433};,Reaction=ATP + L-threonyl-[protein] = ADP + H(+) + O-phospho-L-   threonyl-[protein]; Xref=Rhea:RHEA:46608, Rhea:RHEA-COMP:11060,   Rhea:RHEA-COMP:11605, ChEBI:CHEBI:15378, ChEBI:CHEBI:30013,   ChEBI:CHEBI:30616, ChEBI:CHEBI:61977, ChEBI:CHEBI:456216;   EC=2.7.11.1; Evidence={ECO:0000256|ARBA:ARBA00000775,   ECO:0000256|RuleBase:RU364109};,</t>
  </si>
  <si>
    <t>Belongs to the PI3/PI4-kinase family. {ECO:0000256|ARBA:ARBA00011031, ECO:0000256|RuleBase:RU364109}.,</t>
  </si>
  <si>
    <t>106570952, 106570952</t>
  </si>
  <si>
    <t>Belongs to the protein kinase superfamily. CMGC Ser/Thr protein kinase family. MAP kinase subfamily. {ECO:0000256|ARBA:ARBA00008832}.,Belongs to the protein kinase superfamily. Ser/Thr protein kinase family. MAP kinase subfamily. {ECO:0000256|RuleBase:RU361165}.,</t>
  </si>
  <si>
    <t>Cytoplasm, cytoskeleton, microtubule organizing center, centrosome {ECO:0000256|ARBA:ARBA00004300}. Cytoplasm, cytoskeleton, spindle {ECO:0000256|ARBA:ARBA00004186}.,</t>
  </si>
  <si>
    <t>Un,</t>
  </si>
  <si>
    <t>Belongs to the protein kinase superfamily. CMGC Ser/Thr protein kinase family. MAP kinase subfamily. {ECO:0000256|ARBA:ARBA00008832}.,</t>
  </si>
  <si>
    <t>106584829, 106584829</t>
  </si>
  <si>
    <t>Cytoplasm, cytoskeleton, microtubule organizing center, spindle pole body {ECO:0000256|ARBA:ARBA00004317}. Nucleus {ECO:0000256|ARBA:ARBA00004123}.,</t>
  </si>
  <si>
    <t>106613775, 106613775, 106613775</t>
  </si>
  <si>
    <t>106569535, 106569535</t>
  </si>
  <si>
    <t>106594566, 106594566</t>
  </si>
  <si>
    <t>106578954, 106578954</t>
  </si>
  <si>
    <t>Reaction=1,2-dihexadecanoyl-sn-glycero-3-phospho-(1D-myo-   inositol-3,4,5-trisphosphate) + H2O = 1,2-dihexadecanoyl-sn-glycero-   3-phospho-(1D-myo-inositol-4,5-bisphosphate) + phosphate;   Xref=Rhea:RHEA:43560, ChEBI:CHEBI:15377, ChEBI:CHEBI:43474,   ChEBI:CHEBI:83420, ChEBI:CHEBI:83423;   Evidence={ECO:0000256|ARBA:ARBA00034256}; PhysiologicalDirection=left-to-right; Xref=Rhea:RHEA:43561;   Evidence={ECO:0000256|ARBA:ARBA00034256};,Reaction=1,2-dioctanoyl-sn-glycero-3-phospho-(1D-myo-inositol-3,4,5-   trisphosphate) + H2O = 1,2-dioctanoyl-sn-glycero-3-phospho-(1D-myo-   inositol-4,5-bisphosphate) + phosphate; Xref=Rhea:RHEA:43552,   ChEBI:CHEBI:15377, ChEBI:CHEBI:43474, ChEBI:CHEBI:83416,   ChEBI:CHEBI:83419; Evidence={ECO:0000256|ARBA:ARBA00034268}; PhysiologicalDirection=left-to-right; Xref=Rhea:RHEA:43553;   Evidence={ECO:0000256|ARBA:ARBA00034268};,Reaction=1D-myo-inositol 1,3,4,5,6-pentakisphosphate + H2O = 1D-myo-   inositol 1,4,5,6-tetrakisphosphate + phosphate; Xref=Rhea:RHEA:77143,   ChEBI:CHEBI:15377, ChEBI:CHEBI:43474, ChEBI:CHEBI:57627,   ChEBI:CHEBI:57733; Evidence={ECO:0000256|ARBA:ARBA00043762}; PhysiologicalDirection=left-to-right; Xref=Rhea:RHEA:77144;   Evidence={ECO:0000256|ARBA:ARBA00043762};,Reaction=1D-myo-inositol 1,3,4,5-tetrakisphosphate + H2O = 1D-myo-   inositol 1,4,5-trisphosphate + phosphate; Xref=Rhea:RHEA:77155,   ChEBI:CHEBI:15377, ChEBI:CHEBI:43474, ChEBI:CHEBI:57895,   ChEBI:CHEBI:203600; Evidence={ECO:0000256|ARBA:ARBA00043734}; PhysiologicalDirection=left-to-right; Xref=Rhea:RHEA:77156;   Evidence={ECO:0000256|ARBA:ARBA00043734};,Reaction=H2O + O-phospho-L-seryl-[protein] = L-seryl-[protein] +   phosphate; Xref=Rhea:RHEA:20629, Rhea:RHEA-COMP:9863, Rhea:RHEA-   COMP:11604, ChEBI:CHEBI:15377, ChEBI:CHEBI:29999, ChEBI:CHEBI:43474,   ChEBI:CHEBI:83421; EC=3.1.3.16;   Evidence={ECO:0000256|ARBA:ARBA00036558}; PhysiologicalDirection=left-to-right; Xref=Rhea:RHEA:20630;   Evidence={ECO:0000256|ARBA:ARBA00036558};,Reaction=H2O + O-phospho-L-threonyl-[protein] = L-threonyl-[protein] +   phosphate; Xref=Rhea:RHEA:47004, Rhea:RHEA-COMP:11060, Rhea:RHEA-   COMP:11605, ChEBI:CHEBI:15377, ChEBI:CHEBI:30013, ChEBI:CHEBI:43474,   ChEBI:CHEBI:61977; EC=3.1.3.16;   Evidence={ECO:0000256|ARBA:ARBA00036676}; PhysiologicalDirection=left-to-right; Xref=Rhea:RHEA:47005;   Evidence={ECO:0000256|ARBA:ARBA00036676};,Reaction=H2O + O-phospho-L-tyrosyl-[protein] = L-tyrosyl-[protein] +   phosphate; Xref=Rhea:RHEA:10684, Rhea:RHEA-COMP:10136, Rhea:RHEA-   COMP:10137, ChEBI:CHEBI:15377, ChEBI:CHEBI:43474, ChEBI:CHEBI:46858,   ChEBI:CHEBI:82620; EC=3.1.3.48;   Evidence={ECO:0000256|ARBA:ARBA00033632}; PhysiologicalDirection=left-to-right; Xref=Rhea:RHEA:10685;   Evidence={ECO:0000256|ARBA:ARBA00033632};,Reaction=a 1,2-diacyl-sn-glycero-3-phospho-(1D-myo-inositol-3,4,5-   trisphosphate) + H2O = a 1,2-diacyl-sn-glycero-3-phospho-(1D-myo-   inositol-4,5-bisphosphate) + phosphate; Xref=Rhea:RHEA:25017,   ChEBI:CHEBI:15377, ChEBI:CHEBI:43474, ChEBI:CHEBI:57836,   ChEBI:CHEBI:58456; EC=3.1.3.67;   Evidence={ECO:0000256|ARBA:ARBA00043760}; PhysiologicalDirection=left-to-right; Xref=Rhea:RHEA:25018;   Evidence={ECO:0000256|ARBA:ARBA00043760};,</t>
  </si>
  <si>
    <t>Dual-specificity protein phosphatase, dephosphorylating tyrosine-, serine- and threonine-phosphorylated proteins. Also functions as a lipid phosphatase, removing the phosphate in the D3 position of the inositol ring of PtdIns(3,4,5)P3/phosphatidylinositol 3,4,5-trisphosphate, PtdIns(3,4)P2/phosphatidylinositol 3,4-diphosphate and PtdIns3P/phosphatidylinositol 3-phosphate with a preference for PtdIns(3,4,5)P3. {ECO:0000256|PIRNR:PIRNR038025}.,</t>
  </si>
  <si>
    <t>Belongs to the PTEN phosphatase protein family. {ECO:0000256|ARBA:ARBA00007881, ECO:0000256|PIRNR:PIRNR038025}.,</t>
  </si>
  <si>
    <t>Cell projection, dendritic spine {ECO:0000256|ARBA:ARBA00004552}. Cytoplasm {ECO:0000256|PIRNR:PIRNR038025}. Nucleus {ECO:0000256|PIRNR:PIRNR038025}. Nucleus, PML body {ECO:0000256|PIRNR:PIRNR038025}. Postsynaptic density {ECO:0000256|ARBA:ARBA00034105}.,</t>
  </si>
  <si>
    <t>106610734, 106610734, 106610734</t>
  </si>
  <si>
    <t>106578699, 106578699, 106578699</t>
  </si>
  <si>
    <t>106607213, 106607213</t>
  </si>
  <si>
    <t>106577009, 106577009, 106577009</t>
  </si>
  <si>
    <t>Belongs to the PI3K p85 subunit family. {ECO:0000256|ARBA:ARBA00009442}.,</t>
  </si>
  <si>
    <t>106587034, 106587034</t>
  </si>
  <si>
    <t>106568949, 106568949</t>
  </si>
  <si>
    <t>106600405, 106600405, 106600405</t>
  </si>
  <si>
    <t>106569403, 106569403</t>
  </si>
  <si>
    <t>106613635, 106613635</t>
  </si>
  <si>
    <t>Reaction=a 1,2-diacyl-sn-glycero-3-phospho-(1D-myo-inositol-4,5-   bisphosphate) + ATP = a 1,2-diacyl-sn-glycero-3-phospho-(1D-myo-   inositol-3,4,5-trisphosphate) + ADP + H(+); Xref=Rhea:RHEA:21292,   ChEBI:CHEBI:15378, ChEBI:CHEBI:30616, ChEBI:CHEBI:57836,   ChEBI:CHEBI:58456, ChEBI:CHEBI:456216; EC=2.7.1.153;   Evidence={ECO:0000256|ARBA:ARBA00023981}; PhysiologicalDirection=left-to-right; Xref=Rhea:RHEA:21293;   Evidence={ECO:0000256|ARBA:ARBA00023981};,</t>
  </si>
  <si>
    <t>Phospholipid metabolism; phosphatidylinositol phosphate biosynthesis. {ECO:0000256|ARBA:ARBA00004805}.,</t>
  </si>
  <si>
    <t>Belongs to the PI3/PI4-kinase family. Type III PI4K subfamily. {ECO:0000256|ARBA:ARBA00006209}.,</t>
  </si>
  <si>
    <t>106598808, 106598808</t>
  </si>
  <si>
    <t>106613931, 106613931</t>
  </si>
  <si>
    <t>106572046, 106572046</t>
  </si>
  <si>
    <t>106573370, 106573370, 106573370</t>
  </si>
  <si>
    <t>Belongs to the PROTOR family. {ECO:0000256|ARBA:ARBA00010453}.,</t>
  </si>
  <si>
    <t>106576365, 106576365, 106576365</t>
  </si>
  <si>
    <t>Ligand for members of the frizzled family of seven transmembrane receptors. {ECO:0000256|RuleBase:RU003500}.,</t>
  </si>
  <si>
    <t>Belongs to the Wnt family. {ECO:0000256|ARBA:ARBA00005683, ECO:0000256|RuleBase:RU003500}.,</t>
  </si>
  <si>
    <t>Secreted, extracellular space, extracellular matrix {ECO:0000256|ARBA:ARBA00004498, ECO:0000256|RuleBase:RU003500}.,</t>
  </si>
  <si>
    <t>106567945, 106567945, 106567945</t>
  </si>
  <si>
    <t>106603405, 106603405</t>
  </si>
  <si>
    <t>106603540, 106603540</t>
  </si>
  <si>
    <t>106584495, 106584495</t>
  </si>
  <si>
    <t>106577209, 106577209</t>
  </si>
  <si>
    <t>106594520, 106594520</t>
  </si>
  <si>
    <t>106584208, 106584208</t>
  </si>
  <si>
    <t>106563815, 106563815</t>
  </si>
  <si>
    <t>Belongs to the RICTOR family. {ECO:0000256|ARBA:ARBA00008878}.,</t>
  </si>
  <si>
    <t>106580589, 106580589</t>
  </si>
  <si>
    <t>106585162, 106585162</t>
  </si>
  <si>
    <t>106572261, 106572261</t>
  </si>
  <si>
    <t>Belongs to the small GTPase superfamily. Rho family. {ECO:0000256|ARBA:ARBA00010142}.,</t>
  </si>
  <si>
    <t>Membrane {ECO:0000256|ARBA:ARBA00004423}; Lipid- anchor {ECO:0000256|ARBA:ARBA00004423}; Cytoplasmic side {ECO:0000256|ARBA:ARBA00004423}.,</t>
  </si>
  <si>
    <t>106570373, 106570373</t>
  </si>
  <si>
    <t>Reaction=GTP + H2O = GDP + H(+) + phosphate; Xref=Rhea:RHEA:19669,   ChEBI:CHEBI:15377, ChEBI:CHEBI:15378, ChEBI:CHEBI:37565,   ChEBI:CHEBI:43474, ChEBI:CHEBI:58189;   Evidence={ECO:0000256|ARBA:ARBA00001702}; PhysiologicalDirection=left-to-right; Xref=Rhea:RHEA:19670;   Evidence={ECO:0000256|ARBA:ARBA00001702};,</t>
  </si>
  <si>
    <t>Belongs to the WD repeat RAPTOR family. {ECO:0000256|ARBA:ARBA00009257}.,</t>
  </si>
  <si>
    <t>106588110, 106588110</t>
  </si>
  <si>
    <t>106566794, 106566794</t>
  </si>
  <si>
    <t>106566835, 106566835</t>
  </si>
  <si>
    <t>106572042, 106572042</t>
  </si>
  <si>
    <t>106612640, 106612640</t>
  </si>
  <si>
    <t>Reaction=ATP + L-seryl-[protein] = ADP + H(+) + O-phospho-L-seryl-   [protein]; Xref=Rhea:RHEA:17989, Rhea:RHEA-COMP:9863, Rhea:RHEA-   COMP:11604, ChEBI:CHEBI:15378, ChEBI:CHEBI:29999, ChEBI:CHEBI:30616,   ChEBI:CHEBI:83421, ChEBI:CHEBI:456216; EC=2.7.11.1;   Evidence={ECO:0000256|ARBA:ARBA00001433,   ECO:0000256|PIRNR:PIRNR000606};,Reaction=ATP + L-seryl-[protein] = ADP + H(+) + O-phospho-L-seryl-   [protein]; Xref=Rhea:RHEA:17989, Rhea:RHEA-COMP:9863, Rhea:RHEA-   COMP:11604, ChEBI:CHEBI:15378, ChEBI:CHEBI:29999, ChEBI:CHEBI:30616,   ChEBI:CHEBI:83421, ChEBI:CHEBI:456216; EC=2.7.11.1;   Evidence={ECO:0000256|ARBA:ARBA00001433};,Reaction=ATP + L-threonyl-[protein] = ADP + H(+) + O-phospho-L-   threonyl-[protein]; Xref=Rhea:RHEA:46608, Rhea:RHEA-COMP:11060,   Rhea:RHEA-COMP:11605, ChEBI:CHEBI:15378, ChEBI:CHEBI:30013,   ChEBI:CHEBI:30616, ChEBI:CHEBI:61977, ChEBI:CHEBI:456216;   EC=2.7.11.1; Evidence={ECO:0000256|ARBA:ARBA00000775,   ECO:0000256|PIRNR:PIRNR000606};,Reaction=ATP + L-threonyl-[protein] = ADP + H(+) + O-phospho-L-   threonyl-[protein]; Xref=Rhea:RHEA:46608, Rhea:RHEA-COMP:11060,   Rhea:RHEA-COMP:11605, ChEBI:CHEBI:15378, ChEBI:CHEBI:30013,   ChEBI:CHEBI:30616, ChEBI:CHEBI:61977, ChEBI:CHEBI:456216;   EC=2.7.11.1; Evidence={ECO:0000256|ARBA:ARBA00000775};,</t>
  </si>
  <si>
    <t>Name=Mg(2+); Xref=ChEBI:CHEBI:18420;   Evidence={ECO:0000256|ARBA:ARBA00001946,   ECO:0000256|PIRNR:PIRNR000606};,Name=Mg(2+); Xref=ChEBI:CHEBI:18420;   Evidence={ECO:0000256|ARBA:ARBA00001946};,</t>
  </si>
  <si>
    <t>Belongs to the protein kinase superfamily. AGC Ser/Thr protein kinase family. S6 kinase subfamily. {ECO:0000256|ARBA:ARBA00009804, ECO:0000256|PIRNR:PIRNR000606}.,Belongs to the protein kinase superfamily. AGC Ser/Thr protein kinase family. S6 kinase subfamily. {ECO:0000256|ARBA:ARBA00009804}.,</t>
  </si>
  <si>
    <t>106589820, 106589820</t>
  </si>
  <si>
    <t>Reaction=ATP + L-seryl-[protein] = ADP + H(+) + O-phospho-L-seryl-   [protein]; Xref=Rhea:RHEA:17989, Rhea:RHEA-COMP:9863, Rhea:RHEA-   COMP:11604, ChEBI:CHEBI:15378, ChEBI:CHEBI:29999, ChEBI:CHEBI:30616,   ChEBI:CHEBI:83421, ChEBI:CHEBI:456216; EC=2.7.11.1;   Evidence={ECO:0000256|ARBA:ARBA00001433,   ECO:0000256|PIRNR:PIRNR000606};,Reaction=ATP + L-threonyl-[protein] = ADP + H(+) + O-phospho-L-   threonyl-[protein]; Xref=Rhea:RHEA:46608, Rhea:RHEA-COMP:11060,   Rhea:RHEA-COMP:11605, ChEBI:CHEBI:15378, ChEBI:CHEBI:30013,   ChEBI:CHEBI:30616, ChEBI:CHEBI:61977, ChEBI:CHEBI:456216;   EC=2.7.11.1; Evidence={ECO:0000256|ARBA:ARBA00000775,   ECO:0000256|PIRNR:PIRNR000606};,</t>
  </si>
  <si>
    <t>Name=Mg(2+); Xref=ChEBI:CHEBI:18420;   Evidence={ECO:0000256|ARBA:ARBA00001946,   ECO:0000256|PIRNR:PIRNR000606};,</t>
  </si>
  <si>
    <t>Belongs to the protein kinase superfamily. AGC Ser/Thr protein kinase family. S6 kinase subfamily. {ECO:0000256|ARBA:ARBA00009804, ECO:0000256|PIRNR:PIRNR000606}.,</t>
  </si>
  <si>
    <t>106612512, 106612512</t>
  </si>
  <si>
    <t>Reaction=ATP + L-seryl-[protein] = ADP + H(+) + O-phospho-L-seryl-   [protein]; Xref=Rhea:RHEA:17989, Rhea:RHEA-COMP:9863, Rhea:RHEA-   COMP:11604, ChEBI:CHEBI:15378, ChEBI:CHEBI:29999, ChEBI:CHEBI:30616,   ChEBI:CHEBI:83421, ChEBI:CHEBI:456216; EC=2.7.11.1;   Evidence={ECO:0000256|ARBA:ARBA00001433,   ECO:0000256|PIRNR:PIRNR000605};,Reaction=ATP + L-threonyl-[protein] = ADP + H(+) + O-phospho-L-   threonyl-[protein]; Xref=Rhea:RHEA:46608, Rhea:RHEA-COMP:11060,   Rhea:RHEA-COMP:11605, ChEBI:CHEBI:15378, ChEBI:CHEBI:30013,   ChEBI:CHEBI:30616, ChEBI:CHEBI:61977, ChEBI:CHEBI:456216;   EC=2.7.11.1; Evidence={ECO:0000256|ARBA:ARBA00000775,   ECO:0000256|PIRNR:PIRNR000605};,</t>
  </si>
  <si>
    <t>Belongs to the protein kinase superfamily. AGC Ser/Thr protein kinase family. S6 kinase subfamily. {ECO:0000256|ARBA:ARBA00009804, ECO:0000256|PIRNR:PIRNR000605}.,</t>
  </si>
  <si>
    <t>Mitochondrion outer membrane {ECO:0000256|ARBA:ARBA00004294}.,</t>
  </si>
  <si>
    <t>106602694, 106602694</t>
  </si>
  <si>
    <t>Reaction=ATP + L-seryl-[protein] = ADP + H(+) + O-phospho-L-seryl-   [protein]; Xref=Rhea:RHEA:17989, Rhea:RHEA-COMP:9863, Rhea:RHEA-   COMP:11604, ChEBI:CHEBI:15378, ChEBI:CHEBI:29999, ChEBI:CHEBI:30616,   ChEBI:CHEBI:83421, ChEBI:CHEBI:456216; EC=2.7.11.1;   Evidence={ECO:0000256|PIRNR:PIRNR000605};,Reaction=ATP + L-threonyl-[protein] = ADP + H(+) + O-phospho-L-   threonyl-[protein]; Xref=Rhea:RHEA:46608, Rhea:RHEA-COMP:11060,   Rhea:RHEA-COMP:11605, ChEBI:CHEBI:15378, ChEBI:CHEBI:30013,   ChEBI:CHEBI:30616, ChEBI:CHEBI:61977, ChEBI:CHEBI:456216;   EC=2.7.11.1; Evidence={ECO:0000256|ARBA:ARBA00000775,   ECO:0000256|PIRNR:PIRNR000605};,</t>
  </si>
  <si>
    <t>Belongs to the protein kinase superfamily. AGC Ser/Thr protein kinase family. S6 kinase subfamily. {ECO:0000256|PIRNR:PIRNR000605}.,</t>
  </si>
  <si>
    <t>106609967, 106609967</t>
  </si>
  <si>
    <t>106572388, 106572388, 106572388</t>
  </si>
  <si>
    <t>106602818, 106602818</t>
  </si>
  <si>
    <t>106599063, 106599063</t>
  </si>
  <si>
    <t>106569546, 106569546</t>
  </si>
  <si>
    <t>Name=Mg(2+); Xref=ChEBI:CHEBI:18420;   Evidence={ECO:0000256|ARBA:ARBA00001946};,Name=Mn(2+); Xref=ChEBI:CHEBI:29035;   Evidence={ECO:0000256|ARBA:ARBA00001936};,</t>
  </si>
  <si>
    <t>Belongs to the protein kinase superfamily. CAMK Ser/Thr protein kinase family. LKB1 subfamily. {ECO:0000256|ARBA:ARBA00009985}.,</t>
  </si>
  <si>
    <t>106599971, 106599971, 106599971</t>
  </si>
  <si>
    <t>106573605, 106573605</t>
  </si>
  <si>
    <t>Belongs to the protein kinase superfamily. CAMK Ser/Thr protein kinase family. LKB1 subfamily. {ECO:0000256|ARBA:ARBA00009985}.,Belongs to the protein kinase superfamily. {ECO:0000256|RuleBase:RU000304}.,</t>
  </si>
  <si>
    <t>Belongs to the protein kinase superfamily. AGC Ser/Thr protein kinase family. {ECO:0000256|ARBA:ARBA00009903}.,Belongs to the protein kinase superfamily. {ECO:0000256|RuleBase:RU000304}.,</t>
  </si>
  <si>
    <t>106591125, 106591125</t>
  </si>
  <si>
    <t>Belongs to the protein kinase superfamily. AGC Ser/Thr protein kinase family. {ECO:0000256|ARBA:ARBA00009903}.,</t>
  </si>
  <si>
    <t>106566325, 106566325, 106566325</t>
  </si>
  <si>
    <t>106581221, 106581221, 106581221</t>
  </si>
  <si>
    <t>Reaction=L-asparagine(out) = L-asparagine(in); Xref=Rhea:RHEA:73423,   ChEBI:CHEBI:58048; Evidence={ECO:0000256|ARBA:ARBA00036663};,Reaction=L-glutamine(out) = L-glutamine(in); Xref=Rhea:RHEA:73419,   ChEBI:CHEBI:58359; Evidence={ECO:0000256|ARBA:ARBA00036878};,Reaction=L-leucine(in) = L-leucine(out); Xref=Rhea:RHEA:73011,   ChEBI:CHEBI:57427; Evidence={ECO:0000256|ARBA:ARBA00036887};,Reaction=L-tyrosine(in) = L-tyrosine(out); Xref=Rhea:RHEA:68572,   ChEBI:CHEBI:58315; Evidence={ECO:0000256|ARBA:ARBA00036984};,</t>
  </si>
  <si>
    <t>Belongs to the amino acid/polyamine transporter 2 family. SLC38A9 subfamily. {ECO:0000256|ARBA:ARBA00038442}.,</t>
  </si>
  <si>
    <t>Lysosome membrane {ECO:0000256|ARBA:ARBA00004155}; Multi-pass membrane protein {ECO:0000256|ARBA:ARBA00004155}. Membrane {ECO:0000256|ARBA:ARBA00004141}; Multi-pass membrane protein {ECO:0000256|ARBA:ARBA00004141}.,</t>
  </si>
  <si>
    <t>106560933, 106560933</t>
  </si>
  <si>
    <t>106601599, 106601599</t>
  </si>
  <si>
    <t>106583462, 106583462, 106583462</t>
  </si>
  <si>
    <t>Belongs to the tumor necrosis factor family. {ECO:0000256|ARBA:ARBA00008670}.,</t>
  </si>
  <si>
    <t>Membrane {ECO:0000256|ARBA:ARBA00004370}.,</t>
  </si>
  <si>
    <t>106575188, 106575188, 106575188</t>
  </si>
  <si>
    <t>106601546, 106601546</t>
  </si>
  <si>
    <t>106581334, 106581334</t>
  </si>
  <si>
    <t>106582740, 106582740</t>
  </si>
  <si>
    <t>106583123, 106583123</t>
  </si>
  <si>
    <t>106575957, 106575957</t>
  </si>
  <si>
    <t>100380750, 100380750, 100380750</t>
  </si>
  <si>
    <t>106602804, 106602804, 106602804</t>
  </si>
  <si>
    <t>106609995, 106609995, 106609995</t>
  </si>
  <si>
    <t>100195278, 100195278, 100195278</t>
  </si>
  <si>
    <t>106578137, 106578137, 106578137</t>
  </si>
  <si>
    <t>106568674, 106568674, 106568674</t>
  </si>
  <si>
    <t>106560227, 106560227, 106560227</t>
  </si>
  <si>
    <t>106579446, 106579446, 106579446</t>
  </si>
  <si>
    <t>106563029, 106563029</t>
  </si>
  <si>
    <t>100196724, 100196724, 100196724</t>
  </si>
  <si>
    <t>106580364, 106580364, 106580364</t>
  </si>
  <si>
    <t>106561138, 106561138, 106561138</t>
  </si>
  <si>
    <t>106585282, 106585282, 106585282</t>
  </si>
  <si>
    <t>106572931, 106572931, 106572931</t>
  </si>
  <si>
    <t>106577211, 106577211, 106577211</t>
  </si>
  <si>
    <t>106592479, 106592479, 106592479</t>
  </si>
  <si>
    <t>106577395, 106577395, 106577395</t>
  </si>
  <si>
    <t>100194780, 100194780, 100194780</t>
  </si>
  <si>
    <t>106578589, 106578589</t>
  </si>
  <si>
    <t>100196384, 100196384</t>
  </si>
  <si>
    <t>100286678, 100286678, 100286678</t>
  </si>
  <si>
    <t>106605261, 106605261, 106605261</t>
  </si>
  <si>
    <t>106582151, 106582151</t>
  </si>
  <si>
    <t>106601082, 106601082, 106601082</t>
  </si>
  <si>
    <t>106607369, 106607369, 106607369</t>
  </si>
  <si>
    <t>106578258, 106578258</t>
  </si>
  <si>
    <t>106579219, 106579219, 106579219</t>
  </si>
  <si>
    <t>106596806, 106596806</t>
  </si>
  <si>
    <t>106590380, 106590380, 106590380</t>
  </si>
  <si>
    <t>106573361, 106573361, 106573361</t>
  </si>
  <si>
    <t>106601908, 106601908, 106601908</t>
  </si>
  <si>
    <t>106606379, 106606379</t>
  </si>
  <si>
    <t>100380437, 100380437, 100380437</t>
  </si>
  <si>
    <t>106589564, 106589564, 106589564</t>
  </si>
  <si>
    <t>106582798, 106582798, 106582798</t>
  </si>
  <si>
    <t>100380484, 100380484</t>
  </si>
  <si>
    <t>106571474, 106571474, 106571474</t>
  </si>
  <si>
    <t>106582637, 106582637, 106582637</t>
  </si>
  <si>
    <t>106607890, 106607890, 106607890</t>
  </si>
  <si>
    <t>106610858, 106610858</t>
  </si>
  <si>
    <t>106602915, 106602915, 106602915</t>
  </si>
  <si>
    <t>106613111, 106613111, 106613111</t>
  </si>
  <si>
    <t>Belongs to the protein kinase superfamily. {ECO:0000256|RuleBase:RU000304}.,</t>
  </si>
  <si>
    <t>106564869, 106564869, 106564869</t>
  </si>
  <si>
    <t>106585772, 106585772, 106585772</t>
  </si>
  <si>
    <t>106566757, 106566757, 106566757</t>
  </si>
  <si>
    <t>106571905, 106571905, 106571905</t>
  </si>
  <si>
    <t>106583224, 106583224, 106583224</t>
  </si>
  <si>
    <t>100136351, 100136351</t>
  </si>
  <si>
    <t>100196161, 100196161, 100196161</t>
  </si>
  <si>
    <t>106563829, 106563829, 106563829</t>
  </si>
  <si>
    <t>106568170, 106568170</t>
  </si>
  <si>
    <t>100195739, 100195739, 100195739</t>
  </si>
  <si>
    <t>106565215, 106565215</t>
  </si>
  <si>
    <t>106606872, 106606872, 106606872</t>
  </si>
  <si>
    <t>106601607, 106601607</t>
  </si>
  <si>
    <t>106574923, 106574923, 106574923</t>
  </si>
  <si>
    <t>106573852, 106573852</t>
  </si>
  <si>
    <t>106584071, 106584071, 106584071</t>
  </si>
  <si>
    <t>106578250, 106578250, 106578250</t>
  </si>
  <si>
    <t>106566905, 106566905, 106566905</t>
  </si>
  <si>
    <t>106587014, 106587014, 106587014</t>
  </si>
  <si>
    <t>100196751, 100196751</t>
  </si>
  <si>
    <t>100195496, 100195496, 100195496</t>
  </si>
  <si>
    <t>106590474, 106590474, 106590474</t>
  </si>
  <si>
    <t>106579140, 106579140, 106579140</t>
  </si>
  <si>
    <t>106605527, 106605527, 106605527</t>
  </si>
  <si>
    <t>106608215, 106608215, 106608215</t>
  </si>
  <si>
    <t>106576269, 106576269, 106576269</t>
  </si>
  <si>
    <t>106609141, 106609141, 106609141</t>
  </si>
  <si>
    <t>106595987, 106595987, 106595987</t>
  </si>
  <si>
    <t>100194974, 100194974, 100194974</t>
  </si>
  <si>
    <t>106612044, 106612044</t>
  </si>
  <si>
    <t>106613169, 106613169, 106613169</t>
  </si>
  <si>
    <t>106575510, 106575510, 106575510</t>
  </si>
  <si>
    <t>106575554, 106575554, 106575554</t>
  </si>
  <si>
    <t>106567563, 106567563, 106567563</t>
  </si>
  <si>
    <t>106603747, 106603747, 106603747</t>
  </si>
  <si>
    <t>106567255, 106567255, 106567255</t>
  </si>
  <si>
    <t>106608773, 106608773, 106608773</t>
  </si>
  <si>
    <t>106600441, 106600441</t>
  </si>
  <si>
    <t>100380867, 100380867, 100380867</t>
  </si>
  <si>
    <t>106566970, 106566970, 106566970</t>
  </si>
  <si>
    <t>106585258, 106585258, 106585258</t>
  </si>
  <si>
    <t>106608398, 106608398, 106608398</t>
  </si>
  <si>
    <t>106577251, 106577251, 106577251</t>
  </si>
  <si>
    <t>100194533, 100194533, 100194533</t>
  </si>
  <si>
    <t>106605767, 106605767, 106605767</t>
  </si>
  <si>
    <t>106567520, 106567520, 106567520</t>
  </si>
  <si>
    <t>106603820, 106603820, 106603820</t>
  </si>
  <si>
    <t>106577129, 106577129, 106577129</t>
  </si>
  <si>
    <t>106579053, 106579053, 106579053</t>
  </si>
  <si>
    <t>106605516, 106605516, 106605516</t>
  </si>
  <si>
    <t>106585529, 106585529</t>
  </si>
  <si>
    <t>106601035, 106601035, 106601035</t>
  </si>
  <si>
    <t>106607305, 106607305, 106607305</t>
  </si>
  <si>
    <t>106571436, 106571436, 106571436</t>
  </si>
  <si>
    <t>106608120, 106608120, 106608120</t>
  </si>
  <si>
    <t>106581418, 106581418</t>
  </si>
  <si>
    <t>106574888, 106574888</t>
  </si>
  <si>
    <t>106586337, 106586337, 106586337</t>
  </si>
  <si>
    <t>106578482, 106578482, 106578482</t>
  </si>
  <si>
    <t>106605646, 106605646</t>
  </si>
  <si>
    <t>106574245, 106574245, 106574245</t>
  </si>
  <si>
    <t>106575172, 106575172, 106575172</t>
  </si>
  <si>
    <t>106603626, 106603626</t>
  </si>
  <si>
    <t>106574304, 106574304, 106574304</t>
  </si>
  <si>
    <t>106575154, 106575154, 106575154</t>
  </si>
  <si>
    <t>106582120, 106582120, 106582120</t>
  </si>
  <si>
    <t>106586650, 106586650, 106586650</t>
  </si>
  <si>
    <t>106579904, 106579904, 106579904</t>
  </si>
  <si>
    <t>106588785, 106588785, 106588785</t>
  </si>
  <si>
    <t>ssa27,</t>
  </si>
  <si>
    <t>106605415, 106605415, 106605415</t>
  </si>
  <si>
    <t>106607067, 106607067, 106607067</t>
  </si>
  <si>
    <t>100306767, 100306767, 100306767</t>
  </si>
  <si>
    <t>106564671, 106564671, 106564671</t>
  </si>
  <si>
    <t>106587111, 106587111, 106587111</t>
  </si>
  <si>
    <t>106565454, 106565454, 106565454</t>
  </si>
  <si>
    <t>106580426, 106580426, 106580426</t>
  </si>
  <si>
    <t>106579286, 106579286</t>
  </si>
  <si>
    <t>106579422, 106579422, 106579422</t>
  </si>
  <si>
    <t>106589264, 106589264, 106589264</t>
  </si>
  <si>
    <t>106560567, 106560567, 106560567</t>
  </si>
  <si>
    <t>106612416, 106612416, 106612416</t>
  </si>
  <si>
    <t>106577633, 106577633, 106577633</t>
  </si>
  <si>
    <t>106608778, 106608778, 106608778</t>
  </si>
  <si>
    <t>106567885, 106567885, 106567885</t>
  </si>
  <si>
    <t>106603593, 106603593, 106603593</t>
  </si>
  <si>
    <t>106600510, 106600510, 106600510</t>
  </si>
  <si>
    <t>106583950, 106583950, 106583950</t>
  </si>
  <si>
    <t>100194499, 100194499, 100194499</t>
  </si>
  <si>
    <t>106588078, 106588078, 106588078</t>
  </si>
  <si>
    <t>100136517, 100136517, 100136517</t>
  </si>
  <si>
    <t>106573635, 106573635</t>
  </si>
  <si>
    <t>106595801, 106595801, 106595801</t>
  </si>
  <si>
    <t>106581407, 106581407, 106581407</t>
  </si>
  <si>
    <t>100196036, 100196036, 100196036</t>
  </si>
  <si>
    <t>106590143, 106590143, 106590143</t>
  </si>
  <si>
    <t>106560964, 106560964, 106560964</t>
  </si>
  <si>
    <t>106573620, 106573620, 106573620</t>
  </si>
  <si>
    <t>100380849, 100380849, 100380849</t>
  </si>
  <si>
    <t>106570952, 106570952, 106570952</t>
  </si>
  <si>
    <t>106592057, 106592057, 106592057</t>
  </si>
  <si>
    <t>106600714, 106600714</t>
  </si>
  <si>
    <t>106584829, 106584829, 106584829</t>
  </si>
  <si>
    <t>106569535, 106569535, 106569535</t>
  </si>
  <si>
    <t>106594566, 106594566, 106594566</t>
  </si>
  <si>
    <t>106578954, 106578954, 106578954</t>
  </si>
  <si>
    <t>106570052, 106570052, 106570052</t>
  </si>
  <si>
    <t>106583597, 106583597, 106583597</t>
  </si>
  <si>
    <t>106607213, 106607213, 106607213</t>
  </si>
  <si>
    <t>106589390, 106589390, 106589390</t>
  </si>
  <si>
    <t>106563018, 106563018, 106563018</t>
  </si>
  <si>
    <t>106587034, 106587034, 106587034</t>
  </si>
  <si>
    <t>106568949, 106568949, 106568949</t>
  </si>
  <si>
    <t>106599005, 106599005, 106599005</t>
  </si>
  <si>
    <t>106560529, 106560529, 106560529</t>
  </si>
  <si>
    <t>106584012, 106584012, 106584012</t>
  </si>
  <si>
    <t>106569403, 106569403, 106569403</t>
  </si>
  <si>
    <t>106573900, 106573900, 106573900</t>
  </si>
  <si>
    <t>106568747, 106568747, 106568747</t>
  </si>
  <si>
    <t>106581359, 106581359, 106581359</t>
  </si>
  <si>
    <t>106598808, 106598808, 106598808</t>
  </si>
  <si>
    <t>106613172, 106613172, 106613172</t>
  </si>
  <si>
    <t>106572046, 106572046, 106572046</t>
  </si>
  <si>
    <t>106567700, 106567700, 106567700</t>
  </si>
  <si>
    <t>106560701, 106560701, 106560701</t>
  </si>
  <si>
    <t>100286559, 100286559, 100286559</t>
  </si>
  <si>
    <t>106603540, 106603540, 106603540</t>
  </si>
  <si>
    <t>106573123, 106573123</t>
  </si>
  <si>
    <t>106599872, 106599872</t>
  </si>
  <si>
    <t>106566606, 106566606</t>
  </si>
  <si>
    <t>106571899, 106571899</t>
  </si>
  <si>
    <t>106604409, 106604409</t>
  </si>
  <si>
    <t>106608511, 106608511</t>
  </si>
  <si>
    <t>106599874, 106599874, 106599874</t>
  </si>
  <si>
    <t>106607324, 106607324</t>
  </si>
  <si>
    <t>106564882, 106564882, 106564882</t>
  </si>
  <si>
    <t>Reaction=ATP + L-threonyl-[protein] = ADP + H(+) + O-phospho-L-   threonyl-[protein]; Xref=Rhea:RHEA:46608, Rhea:RHEA-COMP:11060,   Rhea:RHEA-COMP:11605, ChEBI:CHEBI:15378, ChEBI:CHEBI:30013,   ChEBI:CHEBI:30616, ChEBI:CHEBI:61977, ChEBI:CHEBI:456216;   EC=2.7.11.13; Evidence={ECO:0000256|PIRNR:PIRNR000550};,</t>
  </si>
  <si>
    <t>Name=Ca(2+); Xref=ChEBI:CHEBI:29108;   Evidence={ECO:0000256|PIRSR:PIRSR000550-4}; Note=Binds 3 Ca(2+) ions per subunit. The ions are bound to the C2 domain. {ECO:0000256|PIRSR:PIRSR000550-4};,</t>
  </si>
  <si>
    <t>Belongs to the protein kinase superfamily. AGC Ser/Thr protein kinase family. PKC subfamily. {ECO:0000256|ARBA:ARBA00005490, ECO:0000256|PIRNR:PIRNR000550}.,</t>
  </si>
  <si>
    <t>Cytoplasm {ECO:0000256|ARBA:ARBA00004496}.,</t>
  </si>
  <si>
    <t>106594520, 106594520, 106594520</t>
  </si>
  <si>
    <t>106562970, 106562970, 106562970</t>
  </si>
  <si>
    <t>106584208, 106584208, 106584208</t>
  </si>
  <si>
    <t>106613227, 106613227, 106613227</t>
  </si>
  <si>
    <t>106563815, 106563815, 106563815</t>
  </si>
  <si>
    <t>106568168, 106568168, 106568168</t>
  </si>
  <si>
    <t>106585162, 106585162, 106585162</t>
  </si>
  <si>
    <t>100195178, 100195178, 100195178</t>
  </si>
  <si>
    <t>106572261, 106572261, 106572261</t>
  </si>
  <si>
    <t>106602463, 106602463, 106602463</t>
  </si>
  <si>
    <t>106570373, 106570373, 106570373</t>
  </si>
  <si>
    <t>106605136, 106605136, 106605136</t>
  </si>
  <si>
    <t>106564921, 106564921, 106564921</t>
  </si>
  <si>
    <t>106588110, 106588110, 106588110</t>
  </si>
  <si>
    <t>106592002, 106592002</t>
  </si>
  <si>
    <t>106566794, 106566794, 106566794</t>
  </si>
  <si>
    <t>106566835, 106566835, 106566835</t>
  </si>
  <si>
    <t>106582735, 106582735, 106582735</t>
  </si>
  <si>
    <t>106612640, 106612640, 106612640</t>
  </si>
  <si>
    <t>106610660, 106610660, 106610660</t>
  </si>
  <si>
    <t>106589820, 106589820, 106589820</t>
  </si>
  <si>
    <t>106612512, 106612512, 106612512</t>
  </si>
  <si>
    <t>106579471, 106579471, 106579471</t>
  </si>
  <si>
    <t>106563584, 106563584, 106563584</t>
  </si>
  <si>
    <t>106590479, 106590479, 106590479</t>
  </si>
  <si>
    <t>Belongs to the protein kinase superfamily. AGC Ser/Thr protein kinase family. S6 kinase subfamily. {ECO:0000256|ARBA:ARBA00009804}.,</t>
  </si>
  <si>
    <t>106603065, 106603065, 106603065</t>
  </si>
  <si>
    <t>106613000, 106613000, 106613000</t>
  </si>
  <si>
    <t>106567964, 106567964, 106567964</t>
  </si>
  <si>
    <t>106581130, 106581130, 106581130</t>
  </si>
  <si>
    <t>106602694, 106602694, 106602694</t>
  </si>
  <si>
    <t>106609967, 106609967, 106609967</t>
  </si>
  <si>
    <t>106577635, 106577635, 106577635</t>
  </si>
  <si>
    <t>106602818, 106602818, 106602818</t>
  </si>
  <si>
    <t>106568930, 106568930, 106568930</t>
  </si>
  <si>
    <t>106599063, 106599063, 106599063</t>
  </si>
  <si>
    <t>106569546, 106569546, 106569546</t>
  </si>
  <si>
    <t>106573605, 106573605, 106573605</t>
  </si>
  <si>
    <t>106570356, 106570356, 106570356</t>
  </si>
  <si>
    <t>106589037, 106589037</t>
  </si>
  <si>
    <t>106591125, 106591125, 106591125</t>
  </si>
  <si>
    <t>106563157, 106563157, 106563157</t>
  </si>
  <si>
    <t>106612954, 106612954, 106612954</t>
  </si>
  <si>
    <t>106592818, 106592818, 106592818</t>
  </si>
  <si>
    <t>106603161, 106603161, 106603161</t>
  </si>
  <si>
    <t>106571479, 106571479, 106571479</t>
  </si>
  <si>
    <t>106560933, 106560933, 106560933</t>
  </si>
  <si>
    <t>106564790, 106564790, 106564790</t>
  </si>
  <si>
    <t>106584773, 106584773, 106584773</t>
  </si>
  <si>
    <t>106601599, 106601599, 106601599</t>
  </si>
  <si>
    <t>106611443, 106611443, 106611443</t>
  </si>
  <si>
    <t>106565140, 106565140, 106565140</t>
  </si>
  <si>
    <t>100136509, 100136509</t>
  </si>
  <si>
    <t>106567387, 106567387, 106567387</t>
  </si>
  <si>
    <t>106579916, 106579916, 106579916</t>
  </si>
  <si>
    <t>106601546, 106601546, 106601546</t>
  </si>
  <si>
    <t>106561428, 106561428, 106561428</t>
  </si>
  <si>
    <t>100194605, 100194605, 100194605</t>
  </si>
  <si>
    <t>106581334, 106581334, 106581334</t>
  </si>
  <si>
    <t>106589689, 106589689, 106589689</t>
  </si>
  <si>
    <t>106561551, 106561551</t>
  </si>
  <si>
    <t>106567053, 106567053</t>
  </si>
  <si>
    <t>106582740, 106582740, 106582740</t>
  </si>
  <si>
    <t>106583123, 106583123, 106583123</t>
  </si>
  <si>
    <t>106566524, 106566524</t>
  </si>
  <si>
    <t>106575957, 106575957, 106575957</t>
  </si>
  <si>
    <t>106569340, 106569340, 106569340</t>
  </si>
  <si>
    <t>Category</t>
  </si>
  <si>
    <t>Term</t>
  </si>
  <si>
    <t>Count</t>
  </si>
  <si>
    <t>%</t>
  </si>
  <si>
    <t>PValue</t>
  </si>
  <si>
    <t>Genes</t>
  </si>
  <si>
    <t>List Total</t>
  </si>
  <si>
    <t>Pop Hits</t>
  </si>
  <si>
    <t>Pop Total</t>
  </si>
  <si>
    <t>Fold Enrichment</t>
  </si>
  <si>
    <t>Bonferroni</t>
  </si>
  <si>
    <t>Benjamini</t>
  </si>
  <si>
    <t>FDR</t>
  </si>
  <si>
    <t>KEGG_PATHWAY</t>
  </si>
  <si>
    <t>sasa04150:mTOR signaling pathway</t>
  </si>
  <si>
    <t>106578137, 106578258, 100195496, 106613227, 106572151, 106599872, 106573361, 106599874, 106589390, 106573123, 106579904, 106603540, 106569546, 100306767, 106602694, 106606379, 106589037, 106590143, 106566835, 106600714, 106590380, 106578250, 106581418, 106585238, 106613111, 106577395, 106582740, 106584829, 106572261, 106572388, 106596806, 106579219, 100194974, 106561370, 106569535, 106588078, 106564882, 106602463, 106591125, 100194605, 106592571, 106605854, 106586337, 106565616, 106578482, 106581407, 106560964, 106582735, 106604409, 106561138, 106560701, 106579325, 106579446, 106607324, 106608773, 106610734, 106605261, 106610858, 106573900, 106572931, 106569403, 106589299, 106603405, 106594520, 106568674, 106603521, 106608778, 100136509, 106585258, 106580426, 106576171, 106601908, 106578589, 106577251, 106560933, 106607213, 106575510, 106609995, 106610748, 106574304, 106595987, 106592479, 106601599, 100380343, 100136517, 106564869, 100195178, 106582798, 100196384, 106581221, 106560529, 106569340, 106608511, 106569341, 106603065, 106568930, 106571899, 106607305, 106609967, 106579140, 106603626, 106603747, 106567964, 106566757, 106582548, 106587978, 100196036, 106581334, 106580364, 106577635, 106574245, 106577633, 106574923, 100194533, 106590474, 106595801, 106586650, 106605136, 106563593, 100195739, 106609141, 100195278, 106599971, 106567382, 106578954, 106590479, 106603161, 106564671, 100380437, 106566970, 106601546, 106563584, 106600575, 106567387, 106564790, 106583950, 106567700, 106580589, 106567945, 106573370, 106582886, 106572042, 106578264, 100286678, 106613775, 100286559, 106603053, 106572046, 106575554, 106579916, 106607890, 106566047, 106589264, 106589820, 106567255, 106584495, 106584012, 106579471, 106566606, 106582637, 106599063, 106564929, 106611443, 106612416, 106570373, 106601082, 106572675, 106573762, 100380849, 106568170, 106608398, 106577209, 106607067, 106603820, 106566794, 106567520, 106567885, 106587014, 100196751, 106613635, 106599005, 106563829, 106581130, 106573635, 106588110, 106600441, 106565454, 106568168, 106589564, 106592057, 100136458, 106583462, 106564921, 106579053, 106589689, 106563157, 106583224, 106560567, 106565215, 106585529, 100194780, 106613169, 106563815, 106579286, 106612512, 106573620, 100196724, 100196603, 106606872, 106570356, 100380511, 106587034, 106585772, 100380750, 100196161, 106583597, 106562970, 106581359, 106563029, 106584208, 106609471, 106581356, 106612640, 106573852, 106567053, 106567052, 106609475, 100136351, 106571436, 100380867, 106573605, 106568949, 106583123, 106613172, 106566524, 106563018, 106579422, 106563639, 106578699, 106566905, 106570052, 106575188, 106577009, 106577129, 106582151, 106605646, 106605767, 106605527, 106588785, 106565140, 106592002, 106567563, 106600510, 106590060, 106602818, 106601607, 106575172, 106603593, 106576269, 100194499, 106608120, 106574888, 106584071, 106585282, 106605415, 106585162, 106600405, 100380484, 106582378, 106592818, 106608215, 106612954, 106570952, 106594566, 106587111, 106609305, 106607369, 106563501, 106581837, 106613000, 106602915, 106612044, 106610660, 106561428, 106613931, 106571591, 106575154, 106576365, 106577211, 106582120, 106571474, 100136392, 106575957, 106571479, 106601035, 106586152, 106605516, 106598808, 106565230, 106571905, 106563054, 106602804, 106584773, 106561551, 106568747, 106560227, 106566325</t>
  </si>
  <si>
    <t>sasa04910:Insulin signaling pathway</t>
  </si>
  <si>
    <t>106611443, 106573361, 106612416, 100380849, 106608398, 106607067, 100306767, 106567885, 106602694, 106606379, 106587014, 106600714, 106590380, 106613111, 106584829, 106613635, 106599005, 106581130, 106596806, 106569535, 106588110, 106600441, 106565454, 106592571, 100194605, 106592057, 106564921, 106589689, 106583224, 106560567, 100194780, 100196603, 106610858, 106573900, 106569403, 100380511, 106568674, 106587034, 106603521, 106585772, 100380750, 106608778, 106585258, 106562970, 106580426, 106581359, 106584208, 106601908, 106577251, 106609995, 100136351, 106574304, 106601599, 106568949, 106613172, 106564869, 106563018, 100195178, 106563639, 100196384, 106560529, 106609967, 106600510, 106567964, 106566757, 106581334, 106603593, 106577633, 100194533, 106586650, 106600405, 106570952, 106564671, 100380437, 106587111, 106600575, 106564790, 106583950, 106567700, 106613000, 106602915, 106561428, 106613931, 106578264, 100286678, 106613775, 106575154, 106582120, 106572046, 106571474, 106607890, 106598808, 106584012, 106571905, 106602804, 106584773, 106568747, 106582637, 106560227</t>
  </si>
  <si>
    <t>sasa04140:Autophagy - animal</t>
  </si>
  <si>
    <t>106573361, 106612416, 106570373, 106589390, 106573762, 100380849, 106569546, 106567885, 106602694, 106606379, 106587014, 106600714, 106590380, 106613111, 106577395, 106584829, 106613635, 106599005, 106581130, 106596806, 106569535, 106588110, 106600441, 106588078, 106565454, 106602463, 106592571, 100194605, 106589564, 106592057, 106564921, 106589689, 106563157, 106583224, 100194780, 100196603, 106610858, 106573900, 106572931, 106569403, 100380511, 106568674, 106587034, 106603521, 106585772, 100380750, 106608778, 100196161, 106562970, 106581359, 106584208, 106601908, 106607213, 100136351, 106592479, 106573605, 106568949, 106613172, 106564869, 106563018, 100195178, 106581221, 106560529, 106577009, 106609967, 106567964, 106566757, 106581334, 106603593, 106577633, 100194499, 106605136, 106600405, 100380484, 106599971, 106612954, 106578954, 106570952, 100380437, 106601546, 106567700, 106613000, 106602915, 106582886, 106561428, 106613931, 106578264, 106613775, 106577211, 106572046, 106571474, 106579916, 106607890, 106598808, 106584012, 106571905, 106568747, 106582637, 106560227, 106566325</t>
  </si>
  <si>
    <t>sasa04916:Melanogenesis</t>
  </si>
  <si>
    <t>106599872, 106573361, 106599874, 106608511, 106569340, 106573123, 106569341, 106572675, 106603540, 106577209, 106568930, 106605646, 106571899, 106607305, 106606379, 106600714, 106581418, 106603626, 106602818, 106566757, 106582548, 106575172, 106582740, 106584829, 106577635, 106574245, 106572388, 106608120, 106574888, 106600441, 106569535, 106564882, 106586650, 106605854, 106592057, 106565616, 106579053, 106586337, 106578482, 106604409, 106585529, 100194780, 106579325, 106582378, 106607324, 100196603, 106608773, 106570952, 106589299, 100380437, 106603405, 106594520, 100380511, 106609305, 106581837, 106576171, 106567945, 106561428, 106601908, 106571591, 106613775, 106575154, 106582120, 106567053, 106567052, 106575957, 106610748, 106574304, 100136351, 106571436, 106566047, 106601035, 106605516, 106586152, 106567255, 106584495, 106571905, 106583123, 106566606, 106561551, 106566524, 106599063</t>
  </si>
  <si>
    <t>sasa04068:FoxO signaling pathway</t>
  </si>
  <si>
    <t>106579422, 106611443, 106560529, 106573361, 106612416, 106577009, 106589390, 106573762, 106568170, 106607067, 106569546, 100306767, 106567885, 106606379, 106589037, 106600510, 106600714, 106566757, 106581334, 106613111, 106584829, 106613635, 106599005, 106563829, 106603593, 106577633, 100194499, 106600441, 106569535, 106588078, 106591125, 100194605, 106592057, 106600405, 106589689, 106560567, 100194780, 106579286, 106599971, 106592818, 100196603, 106610858, 106573900, 106570356, 106578954, 106570952, 106569403, 106564671, 100380437, 100380511, 106568674, 106587111, 106587034, 106564790, 106585772, 100380750, 106608778, 106562970, 106583950, 106580426, 106567700, 106581359, 106602915, 106584208, 106561428, 106601908, 106613931, 106578264, 106613775, 106571474, 106607213, 106572046, 106609475, 100136351, 106607890, 106589264, 106598808, 106573605, 106601599, 106584012, 106571905, 106568949, 106584773, 106613172, 100136517, 106564869, 106568747, 106582637, 106560227, 106563018</t>
  </si>
  <si>
    <t>sasa04012:ErbB signaling pathway</t>
  </si>
  <si>
    <t>106611443, 106560529, 106573361, 100380849, 106607067, 100306767, 106602694, 106606379, 106609967, 106600714, 106567964, 106566757, 106581334, 106613111, 106584829, 106613635, 106599005, 106581130, 106600441, 106569535, 106564882, 106586650, 100194605, 106592057, 106600405, 106589689, 100194780, 100196603, 106610858, 106573900, 106570952, 106569403, 106564671, 100380437, 106594520, 100380511, 106587111, 106587034, 106603521, 106564790, 106585772, 106585258, 106567700, 106613000, 106581359, 106602915, 106561428, 106601908, 106613931, 106613775, 106575154, 106571474, 106582120, 106572046, 106574304, 100136351, 106607890, 106598808, 106601599, 106584012, 106571905, 106568949, 106584773, 106613172, 106564869, 106568747, 106582637, 106563018</t>
  </si>
  <si>
    <t>sasa04310:Wnt signaling pathway</t>
  </si>
  <si>
    <t>106599872, 106599874, 106608511, 106569340, 106573123, 106569341, 106572675, 106603540, 106577209, 106568930, 106605646, 106571899, 106566794, 106607305, 106565140, 106592002, 106566835, 106581418, 106603626, 106602818, 106582548, 106575172, 106582740, 106572261, 106577635, 106574245, 106572388, 106608120, 106574888, 106564882, 106586650, 106605854, 106583462, 106565616, 106579053, 106586337, 106578482, 106560964, 106582735, 106604409, 106585529, 106579325, 106582378, 106573620, 106607324, 106608773, 106589299, 106603405, 106594520, 106609305, 106581837, 106576171, 106567945, 106571591, 106572042, 106575154, 106582120, 106567053, 106567052, 106575957, 106610748, 106574304, 106571436, 106566047, 106601035, 106605516, 106586152, 106567255, 106584495, 106583123, 106566606, 106561551, 106566524, 106599063</t>
  </si>
  <si>
    <t>sasa04914:Progesterone-mediated oocyte maturation</t>
  </si>
  <si>
    <t>106560529, 106603065, 106573762, 106606379, 106600714, 106566757, 106581334, 106613111, 106584829, 106613635, 106599005, 100194499, 106588078, 100194605, 106592057, 106600405, 106589689, 106612512, 106610858, 106573900, 106590479, 106570952, 106569403, 100380437, 100380511, 106587034, 106563584, 106585772, 106567700, 106581359, 106602915, 106610660, 106561428, 106601908, 106612640, 106613931, 106571474, 106572046, 106609475, 100136351, 106607890, 106598808, 106589820, 106584012, 106571905, 106568949, 106613172, 100136517, 106579471, 106564869, 106568747, 106582637, 106563018</t>
  </si>
  <si>
    <t>sasa04370:VEGF signaling pathway</t>
  </si>
  <si>
    <t>100194780, 106560529, 106573361, 100196603, 106610858, 106573900, 106570952, 106569403, 100380437, 106594520, 100380511, 106587034, 106606379, 106585772, 106600714, 106567700, 106566757, 106581359, 106602915, 106581334, 106561428, 106613111, 106601908, 106613931, 106613635, 106584829, 106613775, 106599005, 106571474, 106572046, 100136351, 106607890, 106600441, 106569535, 106564882, 106598808, 100194605, 106592057, 106584012, 106571905, 106600405, 106568949, 106613172, 106589689, 106564869, 106568747, 106582637, 106563018</t>
  </si>
  <si>
    <t>sasa04625:C-type lectin receptor signaling pathway</t>
  </si>
  <si>
    <t>106579422, 106560529, 106573361, 106566794, 106565140, 106606379, 106592002, 106600714, 106566835, 106566757, 106581334, 106613111, 106572261, 106613635, 106599005, 100194605, 106592057, 100136458, 106583462, 106600405, 106589689, 106582735, 106579286, 100196603, 106610858, 106573900, 106570952, 106569403, 100380437, 100380511, 106587034, 106585772, 100136509, 106580426, 106567700, 106581359, 106602915, 106561428, 106601908, 106572042, 106613931, 106571474, 106572046, 100136351, 106607890, 106589264, 106598808, 106584012, 106571905, 106568949, 106613172, 106564869, 106568747, 106582637, 106563018</t>
  </si>
  <si>
    <t>sasa04510:Focal adhesion</t>
  </si>
  <si>
    <t>106611443, 106560529, 106573361, 106577009, 106589390, 106573762, 106607067, 100306767, 106566794, 106565140, 106592002, 106600714, 106566835, 106566757, 106581334, 106613111, 106584829, 106572261, 106613635, 106599005, 100194499, 106588078, 106564882, 106586650, 100194605, 106592057, 106583462, 106600405, 106589689, 106582735, 100196603, 106610858, 106573900, 106578954, 106570952, 106569403, 106564671, 106594520, 100380511, 106587111, 106587034, 106564790, 106585772, 100380750, 106567700, 106581359, 106602915, 106572042, 106613931, 106578264, 106575154, 106571474, 106582120, 106607213, 106572046, 106609475, 106574304, 100136351, 106607890, 106598808, 106601599, 106584012, 106571905, 106568949, 106584773, 106613172, 100136517, 106564869, 106568747, 106582637, 106563018</t>
  </si>
  <si>
    <t>sasa04210:Apoptosis</t>
  </si>
  <si>
    <t>106579422, 106560529, 106573361, 106575188, 106606379, 106600714, 106566757, 100196751, 106581334, 106613111, 106584829, 106613635, 106599005, 106600441, 106569535, 100194605, 106592057, 100136458, 106600405, 106589689, 100194780, 106579286, 100196603, 106610858, 106573900, 106570952, 106569403, 100380437, 100380511, 106587034, 106567387, 106585772, 100380750, 100136509, 106580426, 106567700, 106581359, 106602915, 106561428, 106601908, 106613931, 106578264, 106613775, 106571474, 106572046, 100136351, 106607890, 106589264, 106598808, 106584012, 106571905, 106568949, 106613172, 106564869, 106568747, 106582637, 106563018</t>
  </si>
  <si>
    <t>sasa04218:Cellular senescence</t>
  </si>
  <si>
    <t>100195178, 106560529, 106573361, 106577009, 106589390, 100380849, 106606379, 106587014, 106600714, 106590380, 106566757, 106581334, 106613111, 106584829, 106613635, 106599005, 106596806, 106600441, 106569535, 106565454, 100194605, 106592571, 106592057, 106600405, 106589689, 106583224, 100194780, 100196603, 106610858, 106573900, 106578954, 106570952, 106569403, 100380437, 100380511, 106587034, 106585772, 106585258, 106567700, 106581359, 106602915, 106561428, 106601908, 106613931, 106613775, 106571474, 106607213, 106572046, 100136351, 106607890, 106598808, 106584012, 106571905, 106568949, 106613172, 106564869, 106568747, 106582637, 106563018</t>
  </si>
  <si>
    <t>sasa04620:Toll-like receptor signaling pathway</t>
  </si>
  <si>
    <t>106579422, 100194780, 106579286, 106560529, 106610858, 106573900, 106570952, 106569403, 100380511, 106587034, 106585772, 100136509, 106600714, 106580426, 106567700, 106581359, 106602915, 106581334, 106613111, 106613931, 106613635, 106584829, 106613775, 106599005, 106571474, 106572046, 106607890, 106600441, 106569535, 106598808, 106589264, 100194605, 106592057, 100136458, 106584012, 106600405, 106568949, 106613172, 106589689, 106564869, 106568747, 106582637, 106563018</t>
  </si>
  <si>
    <t>sasa04810:Regulation of actin cytoskeleton</t>
  </si>
  <si>
    <t>106611443, 106560529, 106573361, 106566794, 106565140, 106606379, 106592002, 106600714, 106566835, 106566757, 106581334, 106613111, 106584829, 106572261, 106613635, 106599005, 106600441, 106569535, 100194605, 106592057, 106583462, 106600405, 106589689, 106582735, 100194780, 100196603, 106610858, 106573900, 106570952, 106569403, 100380437, 100380511, 106587034, 106564790, 106585772, 106567700, 106581359, 106602915, 106561428, 106601908, 106572042, 106613931, 106613775, 106571474, 106572046, 100136351, 106607890, 106598808, 106601599, 106584012, 106571905, 106568949, 106584773, 106613172, 106564869, 106568747, 106582637, 106563018</t>
  </si>
  <si>
    <t>sasa04010:MAPK signaling pathway</t>
  </si>
  <si>
    <t>106579422, 106611443, 106573361, 106575188, 106603065, 106573762, 106607067, 100306767, 106606379, 106600510, 106600714, 106566757, 100196751, 106581334, 106613111, 106584829, 100194499, 106600441, 106569535, 106588078, 106564882, 100194605, 106592057, 100136458, 106589689, 106560567, 100194780, 106579286, 106612512, 100196603, 106610858, 106590479, 106570952, 106564671, 100380437, 106594520, 100380511, 106587111, 106563584, 106567387, 106564790, 106585772, 100136509, 106583950, 106580426, 106602915, 106610660, 106561428, 106601908, 106612640, 106613775, 106571474, 106609475, 100136351, 106607890, 106589264, 106589820, 106601599, 106571905, 106584773, 100136517, 106579471, 106564869, 106582637</t>
  </si>
  <si>
    <t>sasa04920:Adipocytokine signaling pathway</t>
  </si>
  <si>
    <t>106579422, 106579286, 106599971, 106575188, 106612416, 100380849, 106610858, 106569546, 106567885, 106568674, 106567387, 106585772, 106608778, 100136509, 106562970, 106580426, 106602915, 106584208, 100196751, 106581334, 106613111, 106571474, 106603593, 106577633, 106607890, 106589264, 106573605, 100194605, 100136458, 106589689, 106564869, 106582637, 106560227</t>
  </si>
  <si>
    <t>sasa04371:Apelin signaling pathway</t>
  </si>
  <si>
    <t>100194780, 106573361, 100196603, 100380849, 106610858, 106570952, 100380437, 106602694, 100380511, 106606379, 106609967, 106568674, 106603521, 106585772, 106600714, 106562970, 106567964, 106613000, 106566757, 106602915, 106584208, 106581334, 106561428, 106613111, 106601908, 106584829, 106613775, 106571474, 106581130, 106609995, 100136351, 106607890, 106600441, 106569535, 100194605, 106592057, 106571905, 106602804, 106589689, 106564869, 106582637, 106560227</t>
  </si>
  <si>
    <t>sasa05132:Salmonella infection</t>
  </si>
  <si>
    <t>106579422, 100194780, 106579286, 106573361, 106575188, 100196603, 106610858, 106570952, 106566794, 106565140, 100380511, 106567387, 106592002, 106585772, 100136509, 106600714, 106566835, 106580426, 106566757, 106581359, 106602915, 100196751, 106581334, 106613111, 106572042, 106613931, 106584829, 106572261, 106613775, 106571474, 106572046, 100136351, 106607890, 106600441, 106569535, 106598808, 106589264, 100194605, 106592057, 100136458, 106571905, 106583462, 106613172, 106589689, 106564869, 106568747, 106582637, 106582735</t>
  </si>
  <si>
    <t>sasa04540:Gap junction</t>
  </si>
  <si>
    <t>100194780, 106611443, 106573361, 100196603, 106607067, 106570952, 106564671, 100380437, 100306767, 106594520, 100380511, 106606379, 106587111, 106564790, 106600714, 106566757, 106561428, 106601908, 106584829, 106613775, 100136351, 106600441, 106569535, 106564882, 106592057, 106601599, 106571905, 106584773</t>
  </si>
  <si>
    <t>sasa04912:GnRH signaling pathway</t>
  </si>
  <si>
    <t>sasa05100:Bacterial invasion of epithelial cells</t>
  </si>
  <si>
    <t>106560529, 106573900, 106569403, 106566794, 106565140, 106587034, 106592002, 106566835, 106567700, 106581359, 106572042, 106613931, 106613635, 106572261, 106599005, 106572046, 106598808, 106584012, 106583462, 106600405, 106568949, 106613172, 106568747, 106582735, 106563018</t>
  </si>
  <si>
    <t>sasa04070:Phosphatidylinositol signaling system</t>
  </si>
  <si>
    <t>106613931, 106613635, 106560529, 106599005, 106577009, 106572046, 106607213, 106589390, 106578954, 106573900, 106569403, 106564882, 106598808, 106594520, 106587034, 106584012, 106568949, 106600405, 106613172, 106568747, 106567700, 106563018, 106581359</t>
  </si>
  <si>
    <t>sasa05168:Herpes simplex virus 1 infection</t>
  </si>
  <si>
    <t>106579422, 100195178, 106579286, 106560529, 106575188, 100380849, 106610858, 106573900, 106569403, 106587034, 106567387, 106585772, 106587014, 100136509, 106585258, 106590380, 106580426, 106567700, 106581359, 106602915, 100196751, 106581334, 106613111, 106613931, 106613635, 106599005, 106571474, 106572046, 106596806, 106607890, 106565454, 106598808, 106589264, 100194605, 106592571, 100136458, 106584012, 106600405, 106568949, 106613172, 106589689, 106564869, 106583224, 106568747, 106582637, 106563018</t>
  </si>
  <si>
    <t>sasa04270:Vascular smooth muscle contraction</t>
  </si>
  <si>
    <t>100194780, 106572042, 106584829, 106572261, 106613775, 100136351, 106570952, 106600441, 106569535, 106566794, 106564882, 106594520, 100380511, 106565140, 106592057, 106592002, 106571905, 106583462, 106566835, 106600714, 106582735, 106566757</t>
  </si>
  <si>
    <t>sasa04350:TGF-beta signaling pathway</t>
  </si>
  <si>
    <t>106572042, 106572261, 106581130, 106570952, 106566794, 106602694, 100380511, 106565140, 106609967, 106592057, 106592002, 106603521, 100136458, 106583462, 106566835, 100136509, 106600714, 106567964, 106613000, 106582735</t>
  </si>
  <si>
    <t>sasa04114:Oocyte meiosis</t>
  </si>
  <si>
    <t>106610660, 106612640, 106584829, 106612512, 106603065, 106573762, 106609475, 100194499, 106590479, 106570952, 106588078, 100380511, 106589820, 106563584, 106592057, 106600714, 100136517, 106579471</t>
  </si>
  <si>
    <t>sasa00190:Oxidative phosphorylation</t>
  </si>
  <si>
    <t>106609471, 106609141, 106579446, 106603053, 106608215, 100196724, 106576269, 100136392, 100194974, 106561370, 106590474, 106595987, 106605527, 106563593, 106563054, 106579140, 106563029</t>
  </si>
  <si>
    <t>sasa04520:Adherens junction</t>
  </si>
  <si>
    <t>106572042, 106572261, 106573762, 100194499, 106570952, 106566794, 106588078, 100380511, 106565140, 106592057, 106592002, 106600510, 106583462, 106566835, 106600714, 106583950, 106560567, 106582735</t>
  </si>
  <si>
    <t>sasa04145:Phagosome</t>
  </si>
  <si>
    <t>sasa04621:NOD-like receptor signaling pathway</t>
  </si>
  <si>
    <t>106579422, 106579286, 106572042, 106572261, 106570952, 106566794, 106589264, 100380511, 106565140, 106592057, 106592002, 100136458, 106583462, 106566835, 100136509, 106600714, 106580426, 106582735</t>
  </si>
  <si>
    <t>sasa04136:Autophagy - other</t>
  </si>
  <si>
    <t>106588110, 106581221, 106589564, 106564921, 106612954, 100380849</t>
  </si>
  <si>
    <t>sasa00562:Inositol phosphate metabolism</t>
  </si>
  <si>
    <t>106598808, 106613931, 106572046, 106607213, 106577009, 106589390, 106613172, 106568747, 106578954, 106581359</t>
  </si>
  <si>
    <t>106578137, 106578258, 100195496, 106613227, 106572151, 106599872, 106573361, 106599874, 106589390, 106579904, 106603540, 106569546, 100306767, 106602694, 106606379, 106590143, 106566835, 106590380, 106578250, 106585238, 106577395, 106582740, 106584829, 106572261, 106572388, 106596806, 106579219, 100194974, 106561370, 106569535, 106588078, 106591125, 100194605, 106592571, 106586337, 106578482, 106581407, 106582735, 106561138, 106579446, 106607324, 106608773, 106610734, 106605261, 106610858, 106573900, 106572931, 106569403, 106589299, 106603405, 106594520, 106568674, 106603521, 106608778, 100136509, 106585258, 106580426, 106601908, 106578589, 106560933, 106607213, 106575510, 106609995, 106610748, 106574304, 106595987, 106601599, 100380343, 100136517, 106564869, 100195178, 106582798, 100196384, 106581221, 106569340, 106608511, 106569341, 106568930, 106571899, 106607305, 106609967, 106579140, 106603626, 106603747, 106566757, 106582548, 100196036, 106581334, 106580364, 106577635, 106574245, 106577633, 100194533, 106590474, 106586650, 106563593, 100195739, 106609141, 100195278, 106599971, 106567382, 106578954, 106603161, 106564671, 100380437, 106566970, 106601546, 106563584, 106600575, 106567387, 106564790, 106567700, 106580589, 106567945, 106573370, 106582886, 106572042, 106578264, 100286678, 106613775, 100286559, 106603053, 106572046, 106575554, 106579916, 106607890, 106589264, 106589820, 106567255, 106584495, 106584012, 106582637, 106599063, 106564929, 106611443, 106612416, 106570373, 106572675, 106573762, 100380849, 106608398, 106577209, 106607067, 106603820, 106566794, 106567520, 106567885, 100196751, 106613635, 106599005, 106563829, 106573635, 106588110, 106600441, 106565454, 106568168, 106589564, 106592057, 100136458, 106583462, 106564921, 106579053, 106589689, 106563157, 106583224, 106585529, 100194780, 106613169, 106563815, 106612512, 106573620, 100196724, 100196603, 106606872, 106570356, 100380511, 106587034, 106585772, 100380750, 100196161, 106583597, 106562970, 106563029, 106584208, 106609471, 106581356, 106612640, 106567053, 106609475, 100380867, 106573605, 106568949, 106583123, 106566524, 106563018, 106579422, 106563639, 106578699, 106566905, 106570052, 106575188, 106577009, 106605646, 106605767, 106605527, 106565140, 106592002, 106567563, 106600510, 106590060, 106602818, 106601607, 106575172, 106603593, 106576269, 100194499, 106608120, 106584071, 106585282, 106605415, 106585162, 106600405, 100380484, 106582378, 106592818, 106608215, 106570952, 106594566, 106587111, 106607369, 106563501, 106581837, 106613000, 106602915, 106612044, 106610660, 106561428, 106613931, 106575154, 106576365, 106577211, 106582120, 106571474, 100136392, 106575957, 106571479, 106601035, 106586152, 106605516, 106598808, 106565230, 106571905, 106563054, 106602804, 106584773, 106561551, 106568747, 106560227, 106566325</t>
  </si>
  <si>
    <t>100195178, 106563639, 100196384, 106611443, 106573361, 106612416, 100380849, 106608398, 106607067, 100306767, 106567885, 106602694, 106606379, 106609967, 106600510, 106590380, 106566757, 106581334, 106584829, 106613635, 106599005, 106603593, 106577633, 106596806, 100194533, 106588110, 106600441, 106569535, 106565454, 106586650, 100194605, 106592571, 106592057, 106600405, 106564921, 106589689, 106583224, 100194780, 100196603, 106610858, 106573900, 106570952, 106569403, 106564671, 100380437, 100380511, 106568674, 106587111, 106587034, 106600575, 106603521, 106564790, 106585772, 100380750, 106608778, 106585258, 106562970, 106580426, 106567700, 106613000, 106602915, 106584208, 106561428, 106601908, 106613931, 106578264, 100286678, 106613775, 106575154, 106571474, 106582120, 106572046, 106609995, 106574304, 106607890, 106598808, 106601599, 106584012, 106571905, 106568949, 106602804, 106584773, 106564869, 106568747, 106582637, 106560227, 106563018</t>
  </si>
  <si>
    <t>100195178, 106581221, 106573361, 106612416, 106577009, 106570373, 106589390, 106573762, 100380849, 106569546, 106567885, 106602694, 106606379, 106609967, 106590380, 106566757, 106581334, 106577395, 106584829, 106613635, 106599005, 106603593, 106577633, 106596806, 100194499, 106588110, 106600441, 106569535, 106588078, 106565454, 100194605, 106592571, 106589564, 106592057, 106600405, 106564921, 100380484, 106589689, 106563157, 106583224, 100194780, 106599971, 100196603, 106610858, 106573900, 106578954, 106570952, 106572931, 106569403, 100380437, 106601546, 100380511, 106568674, 106587034, 106603521, 106585772, 100380750, 106608778, 100196161, 106562970, 106567700, 106613000, 106602915, 106584208, 106582886, 106561428, 106601908, 106613931, 106578264, 106613775, 106577211, 106571474, 106607213, 106572046, 106579916, 106607890, 106598808, 106573605, 106584012, 106571905, 106568949, 106564869, 106568747, 106582637, 106560227, 106566325, 106563018</t>
  </si>
  <si>
    <t>106579422, 106611443, 106573361, 106612416, 106577009, 106589390, 106573762, 106607067, 106569546, 100306767, 106567885, 106606379, 106600510, 106566757, 106581334, 106584829, 106613635, 106599005, 106563829, 106603593, 106577633, 100194499, 106600441, 106569535, 106588078, 106591125, 100194605, 106592057, 106600405, 106589689, 100194780, 106599971, 106592818, 100196603, 106610858, 106573900, 106570356, 106578954, 106570952, 106569403, 106564671, 100380437, 100380511, 106568674, 106587111, 106587034, 106564790, 106585772, 100380750, 106608778, 106562970, 106580426, 106567700, 106602915, 106584208, 106561428, 106601908, 106613931, 106578264, 106613775, 106571474, 106607213, 106572046, 106609475, 106607890, 106589264, 106598808, 106573605, 106601599, 106584012, 106571905, 106568949, 106584773, 100136517, 106564869, 106568747, 106582637, 106560227, 106563018</t>
  </si>
  <si>
    <t>106599872, 106573361, 106599874, 106608511, 106569340, 106569341, 106572675, 106603540, 106577209, 106568930, 106605646, 106571899, 106607305, 106606379, 106603626, 106602818, 106566757, 106582548, 106575172, 106582740, 106584829, 106577635, 106574245, 106572388, 106608120, 106600441, 106569535, 106586650, 106592057, 106579053, 106586337, 106578482, 106585529, 100194780, 106582378, 106607324, 100196603, 106608773, 106570952, 106589299, 100380437, 106603405, 106594520, 100380511, 106581837, 106567945, 106561428, 106601908, 106613775, 106575154, 106582120, 106567053, 106575957, 106610748, 106574304, 106601035, 106605516, 106586152, 106567255, 106584495, 106571905, 106583123, 106561551, 106566524, 106599063</t>
  </si>
  <si>
    <t>106611443, 106573361, 100380849, 106607067, 100306767, 106602694, 106606379, 106609967, 106566757, 106581334, 106584829, 106613635, 106599005, 106600441, 106569535, 106586650, 100194605, 106592057, 106600405, 106589689, 100194780, 100196603, 106610858, 106573900, 106570952, 106569403, 106564671, 100380437, 106594520, 100380511, 106587111, 106587034, 106603521, 106564790, 106585772, 106585258, 106567700, 106613000, 106602915, 106561428, 106601908, 106613931, 106613775, 106575154, 106571474, 106582120, 106572046, 106574304, 106607890, 106598808, 106601599, 106584012, 106571905, 106568949, 106584773, 106564869, 106568747, 106582637, 106563018</t>
  </si>
  <si>
    <t>100194780, 106573361, 100196603, 106610858, 106573900, 106570952, 106569403, 100380437, 106594520, 100380511, 106587034, 106606379, 106585772, 106567700, 106566757, 106602915, 106581334, 106561428, 106601908, 106613931, 106613635, 106584829, 106613775, 106599005, 106571474, 106572046, 106607890, 106600441, 106569535, 106598808, 100194605, 106592057, 106584012, 106571905, 106600405, 106568949, 106589689, 106564869, 106568747, 106582637, 106563018</t>
  </si>
  <si>
    <t>106611443, 106573361, 106577009, 106589390, 106573762, 106607067, 100306767, 106566794, 106565140, 106592002, 106566835, 106566757, 106581334, 106584829, 106572261, 106613635, 106599005, 100194499, 106588078, 106586650, 100194605, 106592057, 106583462, 106600405, 106589689, 106582735, 100196603, 106610858, 106573900, 106578954, 106570952, 106569403, 106564671, 106594520, 100380511, 106587111, 106587034, 106564790, 106585772, 100380750, 106567700, 106602915, 106572042, 106613931, 106578264, 106575154, 106571474, 106582120, 106607213, 106572046, 106609475, 106574304, 106607890, 106598808, 106601599, 106584012, 106571905, 106568949, 106584773, 100136517, 106564869, 106568747, 106582637, 106563018</t>
  </si>
  <si>
    <t>106612512, 106573762, 106610858, 106573900, 106570952, 106569403, 100380437, 100380511, 106587034, 106563584, 106606379, 106585772, 106567700, 106566757, 106602915, 106581334, 106561428, 106601908, 106610660, 106612640, 106613931, 106613635, 106584829, 106599005, 106571474, 106572046, 106609475, 100194499, 106607890, 106588078, 106598808, 100194605, 106589820, 106592057, 106584012, 106571905, 106600405, 106568949, 106589689, 100136517, 106564869, 106568747, 106582637, 106563018</t>
  </si>
  <si>
    <t>106599872, 106599874, 106608511, 106569340, 106569341, 106572675, 106603540, 106577209, 106568930, 106605646, 106571899, 106566794, 106607305, 106565140, 106592002, 106566835, 106603626, 106602818, 106582548, 106575172, 106582740, 106572261, 106577635, 106574245, 106572388, 106608120, 106586650, 106583462, 106579053, 106586337, 106578482, 106582735, 106585529, 106582378, 106573620, 106607324, 106608773, 106589299, 106603405, 106594520, 106581837, 106567945, 106572042, 106575154, 106582120, 106567053, 106575957, 106610748, 106574304, 106601035, 106605516, 106586152, 106567255, 106584495, 106583123, 106561551, 106566524, 106599063</t>
  </si>
  <si>
    <t>106579422, 106573361, 100196603, 106610858, 106573900, 106570952, 106569403, 106566794, 100380437, 106565140, 100380511, 106587034, 106606379, 106592002, 106585772, 100136509, 106566835, 106580426, 106567700, 106566757, 106602915, 106581334, 106561428, 106601908, 106572042, 106613931, 106613635, 106572261, 106599005, 106571474, 106572046, 106607890, 106598808, 106589264, 100194605, 106592057, 100136458, 106584012, 106571905, 106583462, 106600405, 106568949, 106589689, 106564869, 106568747, 106582637, 106582735, 106563018</t>
  </si>
  <si>
    <t>106579422, 106573361, 106575188, 106606379, 106566757, 100196751, 106581334, 106584829, 106613635, 106599005, 106600441, 106569535, 100194605, 106592057, 100136458, 106600405, 106589689, 100194780, 100196603, 106610858, 106573900, 106570952, 106569403, 100380437, 100380511, 106587034, 106567387, 106585772, 100380750, 100136509, 106580426, 106567700, 106602915, 106561428, 106601908, 106613931, 106578264, 106613775, 106571474, 106572046, 106607890, 106589264, 106598808, 106584012, 106571905, 106568949, 106564869, 106568747, 106582637, 106563018</t>
  </si>
  <si>
    <t>100195178, 106573361, 106577009, 106589390, 100380849, 106606379, 106590380, 106566757, 106581334, 106584829, 106613635, 106599005, 106596806, 106600441, 106569535, 106565454, 100194605, 106592571, 106592057, 106600405, 106589689, 106583224, 100194780, 100196603, 106610858, 106573900, 106578954, 106570952, 106569403, 100380437, 100380511, 106587034, 106585772, 106585258, 106567700, 106602915, 106561428, 106601908, 106613931, 106613775, 106571474, 106607213, 106572046, 106607890, 106598808, 106584012, 106571905, 106568949, 106564869, 106568747, 106582637, 106563018</t>
  </si>
  <si>
    <t>106579422, 100194780, 106610858, 106573900, 106570952, 106569403, 100380511, 106587034, 106585772, 100136509, 106580426, 106567700, 106602915, 106581334, 106613931, 106613635, 106584829, 106613775, 106599005, 106571474, 106572046, 106607890, 106600441, 106569535, 106598808, 106589264, 100194605, 106592057, 100136458, 106584012, 106600405, 106568949, 106589689, 106564869, 106568747, 106582637, 106563018</t>
  </si>
  <si>
    <t>106611443, 106573361, 106566794, 106565140, 106606379, 106592002, 106566835, 106566757, 106581334, 106584829, 106572261, 106613635, 106599005, 106600441, 106569535, 100194605, 106592057, 106583462, 106600405, 106589689, 106582735, 100194780, 100196603, 106610858, 106573900, 106570952, 106569403, 100380437, 100380511, 106587034, 106564790, 106585772, 106567700, 106602915, 106561428, 106601908, 106572042, 106613931, 106613775, 106571474, 106572046, 106607890, 106598808, 106601599, 106584012, 106571905, 106568949, 106584773, 106564869, 106568747, 106582637, 106563018</t>
  </si>
  <si>
    <t>106579422, 106599971, 106575188, 106612416, 100380849, 106610858, 106569546, 106567885, 106568674, 106567387, 106585772, 106608778, 100136509, 106562970, 106580426, 106602915, 106584208, 100196751, 106581334, 106571474, 106603593, 106577633, 106607890, 106589264, 106573605, 100194605, 100136458, 106589689, 106564869, 106582637, 106560227</t>
  </si>
  <si>
    <t>106579422, 106611443, 106573361, 106575188, 106573762, 106607067, 100306767, 106606379, 106600510, 106566757, 100196751, 106581334, 106584829, 100194499, 106600441, 106569535, 106588078, 100194605, 106592057, 100136458, 106589689, 100194780, 106612512, 100196603, 106610858, 106570952, 106564671, 100380437, 106594520, 100380511, 106587111, 106563584, 106567387, 106564790, 106585772, 100136509, 106580426, 106602915, 106610660, 106561428, 106601908, 106612640, 106613775, 106571474, 106609475, 106607890, 106589264, 106589820, 106601599, 106571905, 106584773, 100136517, 106564869, 106582637</t>
  </si>
  <si>
    <t>100194780, 106573361, 100196603, 100380849, 106610858, 106570952, 100380437, 106602694, 100380511, 106606379, 106609967, 106568674, 106603521, 106585772, 106562970, 106613000, 106566757, 106602915, 106584208, 106581334, 106561428, 106601908, 106584829, 106613775, 106571474, 106609995, 106607890, 106600441, 106569535, 100194605, 106592057, 106571905, 106602804, 106589689, 106564869, 106582637, 106560227</t>
  </si>
  <si>
    <t>106579422, 100194780, 106573361, 106575188, 100196603, 106610858, 106570952, 106566794, 106565140, 100380511, 106567387, 106592002, 106585772, 100136509, 106566835, 106580426, 106566757, 106602915, 100196751, 106581334, 106572042, 106613931, 106584829, 106572261, 106613775, 106571474, 106572046, 106607890, 106600441, 106569535, 106598808, 106589264, 100194605, 106592057, 100136458, 106571905, 106583462, 106589689, 106564869, 106568747, 106582637, 106582735</t>
  </si>
  <si>
    <t>100194780, 106611443, 106573361, 100196603, 106607067, 106570952, 106564671, 100380437, 100306767, 106594520, 100380511, 106606379, 106587111, 106564790, 106566757, 106561428, 106601908, 106584829, 106613775, 106600441, 106569535, 106592057, 106601599, 106571905, 106584773</t>
  </si>
  <si>
    <t>106572042, 106613931, 106613635, 106572261, 106599005, 106572046, 106573900, 106569403, 106566794, 106598808, 106565140, 106587034, 106592002, 106584012, 106583462, 106568949, 106600405, 106566835, 106568747, 106567700, 106582735, 106563018</t>
  </si>
  <si>
    <t>106579422, 100195178, 106575188, 100380849, 106610858, 106573900, 106569403, 106587034, 106567387, 106585772, 100136509, 106585258, 106590380, 106580426, 106567700, 106602915, 100196751, 106581334, 106613931, 106613635, 106599005, 106571474, 106572046, 106596806, 106607890, 106565454, 106598808, 106589264, 100194605, 106592571, 100136458, 106584012, 106600405, 106568949, 106589689, 106564869, 106583224, 106568747, 106582637, 106563018</t>
  </si>
  <si>
    <t>106613931, 106613635, 106599005, 106577009, 106572046, 106607213, 106589390, 106578954, 106573900, 106569403, 106598808, 106594520, 106587034, 106584012, 106568949, 106600405, 106568747, 106567700, 106563018</t>
  </si>
  <si>
    <t>100194780, 106572042, 106584829, 106572261, 106613775, 106570952, 106600441, 106569535, 106566794, 106594520, 100380511, 106565140, 106592057, 106592002, 106571905, 106583462, 106566835, 106582735, 106566757</t>
  </si>
  <si>
    <t>106572042, 106572261, 106570952, 106566794, 106602694, 100380511, 106565140, 106609967, 106592057, 106592002, 106603521, 100136458, 106583462, 106566835, 100136509, 106613000, 106582735</t>
  </si>
  <si>
    <t>106572042, 106572261, 106573762, 100194499, 106570952, 106566794, 106588078, 100380511, 106565140, 106592057, 106592002, 106600510, 106583462, 106566835, 106582735</t>
  </si>
  <si>
    <t>106610660, 106612640, 106584829, 106612512, 106573762, 106609475, 100194499, 106570952, 106588078, 100380511, 106589820, 106563584, 106592057, 100136517</t>
  </si>
  <si>
    <t>106579422, 106572042, 106572261, 106570952, 106566794, 106589264, 100380511, 106565140, 106592057, 106592002, 100136458, 106583462, 106566835, 100136509, 106580426, 106582735</t>
  </si>
  <si>
    <t>106588110, 106581221, 106589564, 106564921, 100380849</t>
  </si>
  <si>
    <t>106598808, 106613931, 106572046, 106607213, 106577009, 106589390, 106568747, 106578954</t>
  </si>
  <si>
    <t>All up = 400</t>
  </si>
  <si>
    <t>All down = 434</t>
  </si>
  <si>
    <t>Not in list output???</t>
  </si>
  <si>
    <t xml:space="preserve">down </t>
  </si>
  <si>
    <t>up</t>
  </si>
  <si>
    <t xml:space="preserve">heart </t>
  </si>
  <si>
    <t xml:space="preserve">brain </t>
  </si>
  <si>
    <t xml:space="preserve">liver </t>
  </si>
  <si>
    <t>total</t>
  </si>
  <si>
    <t>ENSSSAG00000063229 (rs6)</t>
  </si>
  <si>
    <t>ENSSSAG00000000691 (ENSSSAG00000000691)</t>
  </si>
  <si>
    <t>ENSSSAG00000121276 (fzd1)</t>
  </si>
  <si>
    <t>ENSSSAG00000120506 (fzd5)</t>
  </si>
  <si>
    <t>ENSSSAG00000069204 (ENSSSAG00000069204)</t>
  </si>
  <si>
    <t>ENSSSAG00000041161 (insra)</t>
  </si>
  <si>
    <t>ENSSSAG00000072696 (nprl2)</t>
  </si>
  <si>
    <t>ENSSSAG00000075326 (PIK3R3)</t>
  </si>
  <si>
    <t>ENSSSAG00000086070 (WNT7B)</t>
  </si>
  <si>
    <t>ENSSSAG00000079805 (castor2)</t>
  </si>
  <si>
    <t>ENSSSAG00000004368 (ENSSSAG00000004368)</t>
  </si>
  <si>
    <t>ENSSSAG00000010140 (atp6v1e1a)</t>
  </si>
  <si>
    <t>ENSSSAG00000090681 (FZD7)</t>
  </si>
  <si>
    <t>ENSSSAG00000004924 (flcn)</t>
  </si>
  <si>
    <t>ENSSSAG00000064449 (eif4ba)</t>
  </si>
  <si>
    <t>ENSSSAG00000003034 (ENSSSAG00000003034)</t>
  </si>
  <si>
    <t>ENSSSAG00000119062 (ENSSSAG00000119062)</t>
  </si>
  <si>
    <t>ENSSSAG00000106789 (fzd5)</t>
  </si>
  <si>
    <t>ENSSSAG00000044375 (IGF1)</t>
  </si>
  <si>
    <t>ENSSSAG00000045104 (ikbkb)</t>
  </si>
  <si>
    <t>ENSSSAG00000081329 (ENSSSAG00000081329)</t>
  </si>
  <si>
    <t>ENSSSAG00000116109 (atp6v1e1b)</t>
  </si>
  <si>
    <t>ENSSSAG00000111850 (slc3a2b)</t>
  </si>
  <si>
    <t>ENSSSAG00000111573 (grb2a)</t>
  </si>
  <si>
    <t>ENSSSAG00000043206 (mapk1)</t>
  </si>
  <si>
    <t>ENSSSAG00000075450 (grb2a)</t>
  </si>
  <si>
    <t>ENSSSAG00000000318 (ULK1)</t>
  </si>
  <si>
    <t>ENSSSAG00000043918 (cab39)</t>
  </si>
  <si>
    <t>ENSSSAG00000064418 (WNT6)</t>
  </si>
  <si>
    <t>ENSSSAG00000081390 (ENSSSAG00000081390)</t>
  </si>
  <si>
    <t>ENSSSAG00000079590 (dvl2)</t>
  </si>
  <si>
    <t>ENSSSAG00000003778 (mios)</t>
  </si>
  <si>
    <t>ENSSSAG00000075429 (ENSSSAG00000075429)</t>
  </si>
  <si>
    <t>ENSSSAG00000057291 (lpin1a)</t>
  </si>
  <si>
    <t>ENSSSAG00000075262 (LPIN2)</t>
  </si>
  <si>
    <t>ENSSSAG00000086833 (ENSSSAG00000086833)</t>
  </si>
  <si>
    <t>ENSSSAG00000056385 (PIK3R3)</t>
  </si>
  <si>
    <t>ENSSSAG00000117983 (ENSSSAG00000117983)</t>
  </si>
  <si>
    <t>ENSSSAG00000058668 (ENSSSAG00000058668)</t>
  </si>
  <si>
    <t>ENSSSAG00000088178 (FZD7)</t>
  </si>
  <si>
    <t>ENSSSAG00000040476 (strada)</t>
  </si>
  <si>
    <t>ENSSSAG00000061151 (cab39)</t>
  </si>
  <si>
    <t>ENSSSAG00000103858 (rps6ka1)</t>
  </si>
  <si>
    <t>ENSSSAG00000045099 (nprl3)</t>
  </si>
  <si>
    <t>ENSSSAG00000084013 (ENSSSAG00000084013)</t>
  </si>
  <si>
    <t>ENSSSAG00000001987 (VATB2)</t>
  </si>
  <si>
    <t>ENSSSAG00000069442 (ENSSSAG00000069442)</t>
  </si>
  <si>
    <t>ENSSSAG00000108635 (PRKAA2)</t>
  </si>
  <si>
    <t>ENSSSAG00000051406 (tnfrsf1a)</t>
  </si>
  <si>
    <t>ENSSSAG00000001102 (ENSSSAG00000001102)</t>
  </si>
  <si>
    <t>ENSSSAG00000074869 (ENSSSAG00000074869)</t>
  </si>
  <si>
    <t>ENSSSAG00000098539 (ENSSSAG00000098539)</t>
  </si>
  <si>
    <t>ENSSSAG00000051886 (slc7a5)</t>
  </si>
  <si>
    <t>ENSSSAG00000076242 (fzd3a)</t>
  </si>
  <si>
    <t>ENSSSAG00000055167 (lpin1a)</t>
  </si>
  <si>
    <t>ENSSSAG00000073374 (pik3r2)</t>
  </si>
  <si>
    <t>ENSSSAG00000026509 (akt2)</t>
  </si>
  <si>
    <t>ENSSSAG00000063702 (DVL1)</t>
  </si>
  <si>
    <t>ENSSSAG00000008770 (sec13)</t>
  </si>
  <si>
    <t>ENSSSAG00000057788 (ENSSSAG00000057788)</t>
  </si>
  <si>
    <t>ENSSSAG00000090406 (GSK3B)</t>
  </si>
  <si>
    <t>ENSSSAG00000089653 (ENSSSAG00000089653)</t>
  </si>
  <si>
    <t>ENSSSAG00000102037 (map2k2a)</t>
  </si>
  <si>
    <t>ENSSSAG00000068165 (ENSSSAG00000068165)</t>
  </si>
  <si>
    <t>ENSSSAG00000071324 (ENSSSAG00000071324)</t>
  </si>
  <si>
    <t>ENSSSAG00000122050 (GSK3B)</t>
  </si>
  <si>
    <t>ENSSSAG00000078911 (ENSSSAG00000078911)</t>
  </si>
  <si>
    <t>ENSSSAG00000108388 (igf1)</t>
  </si>
  <si>
    <t>ENSSSAG00000081935 (ENSSSAG00000081935)</t>
  </si>
  <si>
    <t>ENSSSAG00000101472 (zgc:55558)</t>
  </si>
  <si>
    <t>ENSSSAG00000000363 (grb2)</t>
  </si>
  <si>
    <t>ENSSSAG00000004049 (4f2)</t>
  </si>
  <si>
    <t>ENSSSAG00000013056 (tbc1d7)</t>
  </si>
  <si>
    <t>ENSSSAG00000078232 (mapkap1)</t>
  </si>
  <si>
    <t>ENSSSAG00000057156 (sos2)</t>
  </si>
  <si>
    <t>ENSSSAG00000120036 (cab39l)</t>
  </si>
  <si>
    <t>ENSSSAG00000042315 (castor2)</t>
  </si>
  <si>
    <t>ENSSSAG00000066945 (ENSSSAG00000066945)</t>
  </si>
  <si>
    <t>ENSSSAG00000081887 (ENSSSAG00000081887)</t>
  </si>
  <si>
    <t>ENSSSAG00000071975 (slc7a5)</t>
  </si>
  <si>
    <t>ENSSSAG00000098197 (wnt11)</t>
  </si>
  <si>
    <t>ENSSSAG00000047729 (igf1r)</t>
  </si>
  <si>
    <t>ENSSSAG00000074165 (LPIN2)</t>
  </si>
  <si>
    <t>ENSSSAG00000120041 (wnt2ba)</t>
  </si>
  <si>
    <t>ENSSSAG00000109186 (fzd2)</t>
  </si>
  <si>
    <t>ENSSSAG00000076220 (ENSSSAG00000076220)</t>
  </si>
  <si>
    <t>ENSSSAG00000050171 (ENSSSAG00000050171)</t>
  </si>
  <si>
    <t>ENSSSAG00000077396 (prr5a)</t>
  </si>
  <si>
    <t>ENSSSAG00000119416 (wnt11)</t>
  </si>
  <si>
    <t>ENSSSAG00000000910 (DEPDC5)</t>
  </si>
  <si>
    <t>ENSSSAG00000080142 (dvl2)</t>
  </si>
  <si>
    <t>ENSSSAG00000076163 (RPS6KB1)</t>
  </si>
  <si>
    <t>ENSSSAG00000039735 (NPRL2)</t>
  </si>
  <si>
    <t>ENSSSAG00000107509 (rash)</t>
  </si>
  <si>
    <t>ENSSSAG00000066237 (IF4E2)</t>
  </si>
  <si>
    <t>ENSSSAG00000041252 (ulk1a)</t>
  </si>
  <si>
    <t>ENSSSAG00000120525 (ENSSSAG00000120525)</t>
  </si>
  <si>
    <t>ENSSSAG00000008591 (si:ch211-195b13.1)</t>
  </si>
  <si>
    <t>ENSSSAG00000054728 (ENSSSAG00000054728)</t>
  </si>
  <si>
    <t>ENSSSAG00000048447 (mlst8)</t>
  </si>
  <si>
    <t>ENSSSAG00000007939 (eif4bb)</t>
  </si>
  <si>
    <t>ENSSSAG00000014280 (ENSSSAG00000014280)</t>
  </si>
  <si>
    <t>ENSSSAG00000087185 (RAF1)</t>
  </si>
  <si>
    <t>ENSSSAG00000072637 (mk03)</t>
  </si>
  <si>
    <t>ENSSSAG00000047997 (ENSSSAG00000047997)</t>
  </si>
  <si>
    <t>ENSSSAG00000072238 (PRR5)</t>
  </si>
  <si>
    <t>ENSSSAG00000113622 (ENSSSAG00000113622)</t>
  </si>
  <si>
    <t>ENSSSAG00000047918 (ENSSSAG00000047918)</t>
  </si>
  <si>
    <t>ENSSSAG00000075481 (CLIP1)</t>
  </si>
  <si>
    <t>ENSSSAG00000064504 (fzd1)</t>
  </si>
  <si>
    <t>ENSSSAG00000102843 (ENSSSAG00000102843)</t>
  </si>
  <si>
    <t>ENSSSAG00000081347 (ULK1)</t>
  </si>
  <si>
    <t>ENSSSAG00000069118 (SKP2)</t>
  </si>
  <si>
    <t>ENSSSAG00000112091 (ENSSSAG00000112091)</t>
  </si>
  <si>
    <t>ENSSSAG00000045570 (slc38a9)</t>
  </si>
  <si>
    <t>ENSSSAG00000068784 (wnt11f2)</t>
  </si>
  <si>
    <t>ENSSSAG00000043385 (atp6v1d)</t>
  </si>
  <si>
    <t>ENSSSAG00000051448 (FZD6)</t>
  </si>
  <si>
    <t>ENSSSAG00000045683 (ENSSSAG00000045683)</t>
  </si>
  <si>
    <t>ENSSSAG00000094770 (ENSSSAG00000094770)</t>
  </si>
  <si>
    <t>ENSSSAG00000054714 (igf1ra)</t>
  </si>
  <si>
    <t>ENSSSAG00000101880 (rragcb)</t>
  </si>
  <si>
    <t>ENSSSAG00000097482 (ENSSSAG00000097482)</t>
  </si>
  <si>
    <t>ENSSSAG00000008217 (ENSSSAG00000008217)</t>
  </si>
  <si>
    <t>ENSSSAG00000050992 (PIK3CA)</t>
  </si>
  <si>
    <t>ENSSSAG00000114946 (fzd2)</t>
  </si>
  <si>
    <t>ENSSSAG00000004899 (ENSSSAG00000004899)</t>
  </si>
  <si>
    <t>ENSSSAG00000096156 (ENSSSAG00000096156)</t>
  </si>
  <si>
    <t>ENSSSAG00000074540 (ENSSSAG00000074540)</t>
  </si>
  <si>
    <t>ENSSSAG00000068518 (ENSSSAG00000068518)</t>
  </si>
  <si>
    <t>ENSSSAG00000058799 (ENSSSAG00000058799)</t>
  </si>
  <si>
    <t>ENSSSAG00000062930 (ENSSSAG00000062930)</t>
  </si>
  <si>
    <t>ENSSSAG00000058955 (SGK1)</t>
  </si>
  <si>
    <t>ENSSSAG00000100332 (if4e2)</t>
  </si>
  <si>
    <t>ENSSSAG00000073424 (map2k1)</t>
  </si>
  <si>
    <t>ENSSSAG00000050701 (ENSSSAG00000050701)</t>
  </si>
  <si>
    <t>ENSSSAG00000052045 (ENSSSAG00000052045)</t>
  </si>
  <si>
    <t>ENSSSAG00000009933 (mp2k2)</t>
  </si>
  <si>
    <t>ENSSSAG00000078711 (rps6ka3a)</t>
  </si>
  <si>
    <t>ENSSSAG00000083105 (WNT7A)</t>
  </si>
  <si>
    <t>ENSSSAG00000004760 (ENSSSAG00000004760)</t>
  </si>
  <si>
    <t>ENSSSAG00000093827 (ENSSSAG00000093827)</t>
  </si>
  <si>
    <t>ENSSSAG00000048063 (atp6v1c1a)</t>
  </si>
  <si>
    <t>ENSSSAG00000001130 (SOS1)</t>
  </si>
  <si>
    <t>ENSSSAG00000067794 (wnt10b)</t>
  </si>
  <si>
    <t>ENSSSAG00000071257 (PIK3CA)</t>
  </si>
  <si>
    <t>ENSSSAG00000068095 (ENSSSAG00000068095)</t>
  </si>
  <si>
    <t>ENSSSAG00000045623 (telo2)</t>
  </si>
  <si>
    <t>ENSSSAG00000046715 (ENSSSAG00000046715)</t>
  </si>
  <si>
    <t>ENSSSAG00000007986 (rraga)</t>
  </si>
  <si>
    <t>ENSSSAG00000076022 (atp6v1ba)</t>
  </si>
  <si>
    <t>ENSSSAG00000094876 (ENSSSAG00000094876)</t>
  </si>
  <si>
    <t>ENSSSAG00000054056 (ENSSSAG00000054056)</t>
  </si>
  <si>
    <t>ENSSSAG00000052394 (ENSSSAG00000052394)</t>
  </si>
  <si>
    <t>ENSSSAG00000076388 (hrasa)</t>
  </si>
  <si>
    <t>ENSSSAG00000092453 (ENSSSAG00000092453)</t>
  </si>
  <si>
    <t>ENSSSAG00000041617 (ENSSSAG00000041617)</t>
  </si>
  <si>
    <t>ENSSSAG00000088901 (deptor)</t>
  </si>
  <si>
    <t>ENSSSAG00000116020 (ENSSSAG00000116020)</t>
  </si>
  <si>
    <t>ENSSSAG00000063963 (ENSSSAG00000063963)</t>
  </si>
  <si>
    <t>ENSSSAG00000040880 (ENSSSAG00000040880)</t>
  </si>
  <si>
    <t>ENSSSAG00000046073 (rps6ka1)</t>
  </si>
  <si>
    <t>ENSSSAG00000071907 (ENSSSAG00000071907)</t>
  </si>
  <si>
    <t>ENSSSAG00000054808 (ENSSSAG00000054808)</t>
  </si>
  <si>
    <t>ENSSSAG00000078896 (ENSSSAG00000078896)</t>
  </si>
  <si>
    <t>ENSSSAG00000090269 (ENSSSAG00000090269)</t>
  </si>
  <si>
    <t>ENSSSAG00000054521 (ENSSSAG00000054521)</t>
  </si>
  <si>
    <t>ENSSSAG00000078530 (ENSSSAG00000078530)</t>
  </si>
  <si>
    <t>ENSSSAG00000004062 (eif4eb)</t>
  </si>
  <si>
    <t>ENSSSAG00000065634 (PRKAA2)</t>
  </si>
  <si>
    <t>ENSSSAG00000042015 (ENSSSAG00000042015)</t>
  </si>
  <si>
    <t>ENSSSAG00000047398 (ENSSSAG00000047398)</t>
  </si>
  <si>
    <t>ENSSSAG00000082990 (GSK3B)</t>
  </si>
  <si>
    <t>ENSSSAG00000043463 (ENSSSAG00000043463)</t>
  </si>
  <si>
    <t>ENSSSAG00000092832 (wnt3a)</t>
  </si>
  <si>
    <t>ENSSSAG00000053783 (tnf-alpha-2)</t>
  </si>
  <si>
    <t>ENSSSAG00000056892 (wdr24)</t>
  </si>
  <si>
    <t>ENSSSAG00000090804 (ENSSSAG00000090804)</t>
  </si>
  <si>
    <t>ENSSSAG00000057025 (wnt6)</t>
  </si>
  <si>
    <t>ENSSSAG00000063388 (rask)</t>
  </si>
  <si>
    <t>ENSSSAG00000065440 (ENSSSAG00000065440)</t>
  </si>
  <si>
    <t>ENSSSAG00000067620 (eif4bb)</t>
  </si>
  <si>
    <t>ENSSSAG00000068795 (ENSSSAG00000068795)</t>
  </si>
  <si>
    <t>ENSSSAG00000047179 (ENSSSAG00000047179)</t>
  </si>
  <si>
    <t>ENSSSAG00000075007 (ENSSSAG00000075007)</t>
  </si>
  <si>
    <t>ENSSSAG00000001575 (ENSSSAG00000001575)</t>
  </si>
  <si>
    <t>ENSSSAG00000065291 (STK11)</t>
  </si>
  <si>
    <t>ENSSSAG00000070070 (wnt2)</t>
  </si>
  <si>
    <t>ENSSSAG00000039308 (ENSSSAG00000039308)</t>
  </si>
  <si>
    <t>ENSSSAG00000115585 (vath)</t>
  </si>
  <si>
    <t>ENSSSAG00000077280 (slc3a2b)</t>
  </si>
  <si>
    <t>ENSSSAG00000076906 (rhoab)</t>
  </si>
  <si>
    <t>ENSSSAG00000103240 (ENSSSAG00000103240)</t>
  </si>
  <si>
    <t>ENSSSAG00000078764 (VATG1)</t>
  </si>
  <si>
    <t>ENSSSAG00000039035 (atp6v1h)</t>
  </si>
  <si>
    <t>ENSSSAG00000008233 (ATP6V1A)</t>
  </si>
  <si>
    <t>ENSSSAG00000081195 (map2k2b)</t>
  </si>
  <si>
    <t>ENSSSAG00000009841 (ENSSSAG00000009841)</t>
  </si>
  <si>
    <t>ENSSSAG00000007302 (ENSSSAG00000007302)</t>
  </si>
  <si>
    <t>ENSSSAG00000089475 (FZD10)</t>
  </si>
  <si>
    <t>ENSSSAG00000110636 (map2k2b)</t>
  </si>
  <si>
    <t>ENSSSAG00000114958 (ENSSSAG00000114958)</t>
  </si>
  <si>
    <t>ENSSSAG00000086371 (igf1rb)</t>
  </si>
  <si>
    <t>ENSSSAG00000015372 (ENSSSAG00000015372)</t>
  </si>
  <si>
    <t>ENSSSAG00000075500 (ENSSSAG00000075500)</t>
  </si>
  <si>
    <t>ENSSSAG00000076313 (ENSSSAG00000076313)</t>
  </si>
  <si>
    <t>ENSSSAG00000098985 (lamtor5)</t>
  </si>
  <si>
    <t>ENSSSAG00000077020 (VATA)</t>
  </si>
  <si>
    <t>ENSSSAG00000110593 (ENSSSAG00000110593)</t>
  </si>
  <si>
    <t>ENSSSAG00000068824 (SOS1)</t>
  </si>
  <si>
    <t>ENSSSAG00000046140 (ENSSSAG00000046140)</t>
  </si>
  <si>
    <t>ENSSSAG00000047230 (VATE1)</t>
  </si>
  <si>
    <t>ENSSSAG00000105288 (wnt3)</t>
  </si>
  <si>
    <t>ENSSSAG00000044993 (tnfa)</t>
  </si>
  <si>
    <t>ENSSSAG00000108034 (lamtor1)</t>
  </si>
  <si>
    <t>ENSSSAG00000005984 (pik3cd)</t>
  </si>
  <si>
    <t>ENSSSAG00000006438 (eif4e1b)</t>
  </si>
  <si>
    <t>ENSSSAG00000055488 (ENSSSAG00000055488)</t>
  </si>
  <si>
    <t>ENSSSAG00000070363 (ENSSSAG00000070363)</t>
  </si>
  <si>
    <t>ENSSSAG00000055476 (rheb)</t>
  </si>
  <si>
    <t>ENSSSAG00000074496 (tnr1a)</t>
  </si>
  <si>
    <t>ENSSSAG00000068681 (if4e)</t>
  </si>
  <si>
    <t>ENSSSAG00000042302 (akts1)</t>
  </si>
  <si>
    <t>ENSSSAG00000110143 (ENSSSAG00000110143)</t>
  </si>
  <si>
    <t>ENSSSAG00000099686 (rask)</t>
  </si>
  <si>
    <t>ENSSSAG00000070332 (prkaa1)</t>
  </si>
  <si>
    <t>ENSSSAG00000031718 (PIK3R1)</t>
  </si>
  <si>
    <t>ENSSSAG00000080426 (RHOA)</t>
  </si>
  <si>
    <t>ENSSSAG00000062874 (tsc1b)</t>
  </si>
  <si>
    <t>ENSSSAG00000106504 (wnt5a)</t>
  </si>
  <si>
    <t>ENSSSAG00000064338 (TTI1)</t>
  </si>
  <si>
    <t>ENSSSAG00000069372 (ENSSSAG00000069372)</t>
  </si>
  <si>
    <t>ENSSSAG00000073990 (PIK3R1)</t>
  </si>
  <si>
    <t>ENSSSAG00000049857 (wnt9a)</t>
  </si>
  <si>
    <t>ENSSSAG00000056819 (lrp5)</t>
  </si>
  <si>
    <t>ENSSSAG00000087757 (ENSSSAG00000087757)</t>
  </si>
  <si>
    <t>ENSSSAG00000095698 (GSK3B)</t>
  </si>
  <si>
    <t>ENSSSAG00000077705 (cab39l)</t>
  </si>
  <si>
    <t>ENSSSAG00000019916 (ddit4)</t>
  </si>
  <si>
    <t>ENSSSAG00000080127 (ENSSSAG00000080127)</t>
  </si>
  <si>
    <t>ENSSSAG00000046217 (wdr24)</t>
  </si>
  <si>
    <t>ENSSSAG00000056654 (FZD6)</t>
  </si>
  <si>
    <t>ENSSSAG00000037403 (ENSSSAG00000037403)</t>
  </si>
  <si>
    <t>ENSSSAG00000090834 (LAMTOR1)</t>
  </si>
  <si>
    <t>ENSSSAG00000051579 (rhoca)</t>
  </si>
  <si>
    <t>ENSSSAG00000057099 (rhebl1)</t>
  </si>
  <si>
    <t>ENSSSAG00000120618 (ENSSSAG00000120618)</t>
  </si>
  <si>
    <t>ENSSSAG00000062653 (ENSSSAG00000062653)</t>
  </si>
  <si>
    <t>ENSSSAG00000068992 (PTEN)</t>
  </si>
  <si>
    <t>ENSSSAG00000073814 (akt3a)</t>
  </si>
  <si>
    <t>ENSSSAG00000076897 (pik3r2)</t>
  </si>
  <si>
    <t>ENSSSAG00000096426 (wnt9a)</t>
  </si>
  <si>
    <t>ENSSSAG00000041805 (zgc:55558)</t>
  </si>
  <si>
    <t>ENSSSAG00000005393 (GRB2)</t>
  </si>
  <si>
    <t>ENSSSAG00000064436 (wnt9b)</t>
  </si>
  <si>
    <t>ENSSSAG00000104497 (ENSSSAG00000104497)</t>
  </si>
  <si>
    <t>ENSSSAG00000054084 (wnt8b)</t>
  </si>
  <si>
    <t>ENSSSAG00000092192 (ENSSSAG00000092192)</t>
  </si>
  <si>
    <t>ENSSSAG00000038616 (cab39l1)</t>
  </si>
  <si>
    <t>ENSSSAG00000009422 (tsc1)</t>
  </si>
  <si>
    <t>ENSSSAG00000079094 (ENSSSAG00000079094)</t>
  </si>
  <si>
    <t>ENSSSAG00000051639 (wnt2)</t>
  </si>
  <si>
    <t>ENSSSAG00000001260 (rps6ka3a)</t>
  </si>
  <si>
    <t>ENSSSAG00000015795 (ddit4)</t>
  </si>
  <si>
    <t>ENSSSAG00000082778 (ENSSSAG00000082778)</t>
  </si>
  <si>
    <t>ENSSSAG00000010306 (ENSSSAG00000010306)</t>
  </si>
  <si>
    <t>ENSSSAG00000052155 (ENSSSAG00000052155)</t>
  </si>
  <si>
    <t>ENSSSAG00000078964 (RPS6KA3)</t>
  </si>
  <si>
    <t>ENSSSAG00000056357 (ENSSSAG00000056357)</t>
  </si>
  <si>
    <t>ENSSSAG00000070682 (eif4e1c)</t>
  </si>
  <si>
    <t>ENSSSAG00000054921 (ENSSSAG00000054921)</t>
  </si>
  <si>
    <t>ENSSSAG00000070370 (si:ch211-195b13.1)</t>
  </si>
  <si>
    <t>ENSSSAG00000064425 (lrp5)</t>
  </si>
  <si>
    <t>ENSSSAG00000061272 (PIK3CB)</t>
  </si>
  <si>
    <t>ENSSSAG00000007052 (PRKCA)</t>
  </si>
  <si>
    <t>ENSSSAG00000044156 (PIK3CB)</t>
  </si>
  <si>
    <t>ENSSSAG00000104675 (ENSSSAG00000104675)</t>
  </si>
  <si>
    <t>ENSSSAG00000042939 (mios)</t>
  </si>
  <si>
    <t>ENSSSAG00000077150 (RPS6KA3)</t>
  </si>
  <si>
    <t>ENSSSAG00000078121 (ENSSSAG00000078121)</t>
  </si>
  <si>
    <t>ENSSSAG00000068716 (SKP2)</t>
  </si>
  <si>
    <t>ENSSSAG00000069400 (ENSSSAG00000069400)</t>
  </si>
  <si>
    <t>ENSSSAG00000031333 (ENSSSAG00000031333)</t>
  </si>
  <si>
    <t>ENSSSAG00000008359 (flcn)</t>
  </si>
  <si>
    <t>ENSSSAG00000038645 (rps6kb1b)</t>
  </si>
  <si>
    <t>ENSSSAG00000063882 (nprl3)</t>
  </si>
  <si>
    <t>ENSSSAG00000085395 (ENSSSAG00000085395)</t>
  </si>
  <si>
    <t>ENSSSAG00000044371 (ENSSSAG00000044371)</t>
  </si>
  <si>
    <t>ENSSSAG00000066081 (rragd)</t>
  </si>
  <si>
    <t>ENSSSAG00000096966 (PRR5)</t>
  </si>
  <si>
    <t>ENSSSAG00000086478 (ENSSSAG00000086478)</t>
  </si>
  <si>
    <t>ENSSSAG00000042174 (rragca)</t>
  </si>
  <si>
    <t>ENSSSAG00000046893 (insrb)</t>
  </si>
  <si>
    <t>ENSSSAG00000002358 (ENSSSAG00000002358)</t>
  </si>
  <si>
    <t>ENSSSAG00000009421 (zgc:123305)</t>
  </si>
  <si>
    <t>ENSSSAG00000015667 (raf1b)</t>
  </si>
  <si>
    <t>ENSSSAG00000077501 (wnt3)</t>
  </si>
  <si>
    <t>ENSSSAG00000090440 (WNT1)</t>
  </si>
  <si>
    <t>ENSSSAG00000052281 (FZD5)</t>
  </si>
  <si>
    <t>ENSSSAG00000118892 (ENSSSAG00000118892)</t>
  </si>
  <si>
    <t>ENSSSAG00000098279 (WNT7A)</t>
  </si>
  <si>
    <t>ENSSSAG00000001801 (mapk3)</t>
  </si>
  <si>
    <t>ENSSSAG00000066553 (wnt16)</t>
  </si>
  <si>
    <t>ENSSSAG00000064739 (ENSSSAG00000064739)</t>
  </si>
  <si>
    <t>ENSSSAG00000044252 (fzd3a)</t>
  </si>
  <si>
    <t>ENSSSAG00000090697 (wnt16)</t>
  </si>
  <si>
    <t>ENSSSAG00000105539 (ENSSSAG00000105539)</t>
  </si>
  <si>
    <t>ENSSSAG00000061388 (wnt4b)</t>
  </si>
  <si>
    <t>Duplicates: 288</t>
  </si>
  <si>
    <t>initial_alias</t>
  </si>
  <si>
    <t>converted_alias</t>
  </si>
  <si>
    <t>name</t>
  </si>
  <si>
    <t>description</t>
  </si>
  <si>
    <t>namespace</t>
  </si>
  <si>
    <t>None</t>
  </si>
  <si>
    <t>ARRAYEXPRESS,ENSG</t>
  </si>
  <si>
    <t>fzd5</t>
  </si>
  <si>
    <t>frizzled class receptor 5 [Source:ZFIN;Acc:ZDB-GENE-990415-218]</t>
  </si>
  <si>
    <t>insra</t>
  </si>
  <si>
    <t>insulin receptor a [Source:ZFIN;Acc:ZDB-GENE-020503-3]</t>
  </si>
  <si>
    <t>PIK3R3</t>
  </si>
  <si>
    <t>phosphoinositide-3-kinase regulatory subunit 3 [Source:HGNC Symbol;Acc:HGNC:8981]</t>
  </si>
  <si>
    <t>WNT7B</t>
  </si>
  <si>
    <t>Wnt family member 7B [Source:HGNC Symbol;Acc:HGNC:12787]</t>
  </si>
  <si>
    <t>castor2</t>
  </si>
  <si>
    <t>cytosolic arginine sensor for mTORC1 subunit 2 [Source:ZFIN;Acc:ZDB-GENE-030131-5505]</t>
  </si>
  <si>
    <t>atp6v1e1a</t>
  </si>
  <si>
    <t>ATPase H+ transporting V1 subunit E1a [Source:ZFIN;Acc:ZDB-GENE-041212-51]</t>
  </si>
  <si>
    <t>flcn</t>
  </si>
  <si>
    <t>folliculin [Source:ZFIN;Acc:ZDB-GENE-060421-3470]</t>
  </si>
  <si>
    <t>eif4ba</t>
  </si>
  <si>
    <t>eukaryotic translation initiation factor 4Ba [Source:ZFIN;Acc:ZDB-GENE-060629-1]</t>
  </si>
  <si>
    <t>IGF1</t>
  </si>
  <si>
    <t>insulin like growth factor 1 [Source:HGNC Symbol;Acc:HGNC:5464]</t>
  </si>
  <si>
    <t>atp6v1e1b</t>
  </si>
  <si>
    <t>ATPase H+ transporting V1 subunit E1b [Source:ZFIN;Acc:ZDB-GENE-020419-11]</t>
  </si>
  <si>
    <t>slc3a2b</t>
  </si>
  <si>
    <t>solute carrier family 3 member 2b [Source:ZFIN;Acc:ZDB-GENE-040122-2]</t>
  </si>
  <si>
    <t>grb2a</t>
  </si>
  <si>
    <t>growth factor receptor-bound protein 2a [Source:ZFIN;Acc:ZDB-GENE-041121-1]</t>
  </si>
  <si>
    <t>mapk1</t>
  </si>
  <si>
    <t>ULK1</t>
  </si>
  <si>
    <t>unc-51 like autophagy activating kinase 1 [Source:HGNC Symbol;Acc:HGNC:12558]</t>
  </si>
  <si>
    <t>cab39</t>
  </si>
  <si>
    <t>calcium binding protein 39 [Source:ZFIN;Acc:ZDB-GENE-040625-158]</t>
  </si>
  <si>
    <t>si:dkeyp-97e7.9 [Source:ZFIN;Acc:ZDB-GENE-131121-398]</t>
  </si>
  <si>
    <t>dvl2</t>
  </si>
  <si>
    <t>dishevelled segment polarity protein 2 [Source:ZFIN;Acc:ZDB-GENE-041118-20]</t>
  </si>
  <si>
    <t>mios</t>
  </si>
  <si>
    <t>missing oocyte, meiosis regulator, homolog (Drosophila) [Source:ZFIN;Acc:ZDB-GENE-040426-856]</t>
  </si>
  <si>
    <t>lpin1a</t>
  </si>
  <si>
    <t>lipin 1a [Source:ZFIN;Acc:ZDB-GENE-080722-2]</t>
  </si>
  <si>
    <t>VATB2</t>
  </si>
  <si>
    <t>ATPase, H+ transporting, lysosomal, V1 subunit B, member a [Source:ZFIN;Acc:ZDB-GENE-030711-3]</t>
  </si>
  <si>
    <t>PRKAA2</t>
  </si>
  <si>
    <t>protein kinase AMP-activated catalytic subunit alpha 2 [Source:HGNC Symbol;Acc:HGNC:9377]</t>
  </si>
  <si>
    <t>tnfrsf1a</t>
  </si>
  <si>
    <t>tumor necrosis factor receptor superfamily, member 1a [Source:ZFIN;Acc:ZDB-GENE-040426-2252]</t>
  </si>
  <si>
    <t>fzd3a</t>
  </si>
  <si>
    <t>frizzled class receptor 3a [Source:ZFIN;Acc:ZDB-GENE-990415-225]</t>
  </si>
  <si>
    <t>akt2</t>
  </si>
  <si>
    <t>v-akt murine thymoma viral oncogene homolog 2 [Source:ZFIN;Acc:ZDB-GENE-031007-5]</t>
  </si>
  <si>
    <t>DVL1</t>
  </si>
  <si>
    <t>dishevelled segment polarity protein 1 [Source:HGNC Symbol;Acc:HGNC:3084]</t>
  </si>
  <si>
    <t>phosphoinositide-3-kinase regulatory subunit 2 [Source:HGNC Symbol;Acc:HGNC:8980]</t>
  </si>
  <si>
    <t>map2k2a</t>
  </si>
  <si>
    <t>mitogen-activated protein kinase kinase 2a [Source:ZFIN;Acc:ZDB-GENE-041027-1]</t>
  </si>
  <si>
    <t>mapkap1</t>
  </si>
  <si>
    <t>MAPK associated protein 1 [Source:NCBI gene (formerly Entrezgene);Acc:100380343]</t>
  </si>
  <si>
    <t>sos2</t>
  </si>
  <si>
    <t>son of sevenless homolog 2 (Drosophila) [Source:ZFIN;Acc:ZDB-GENE-090319-5]</t>
  </si>
  <si>
    <t>cab39l</t>
  </si>
  <si>
    <t>calcium binding protein 39-like [Source:ZFIN;Acc:ZDB-GENE-041114-204]</t>
  </si>
  <si>
    <t>LPIN2</t>
  </si>
  <si>
    <t>lipin 2 [Source:HGNC Symbol;Acc:HGNC:14450]</t>
  </si>
  <si>
    <t>prr5a</t>
  </si>
  <si>
    <t>proline rich 5a (renal) [Source:ZFIN;Acc:ZDB-GENE-130530-791]</t>
  </si>
  <si>
    <t>wnt11</t>
  </si>
  <si>
    <t>wingless-type MMTV integration site family, member 11 [Source:ZFIN;Acc:ZDB-GENE-980526-249]</t>
  </si>
  <si>
    <t>DEPDC5</t>
  </si>
  <si>
    <t>DEP domain containing 5, GATOR1 subcomplex subunit [Source:HGNC Symbol;Acc:HGNC:18423]</t>
  </si>
  <si>
    <t>rash</t>
  </si>
  <si>
    <t>GTPase HRas [Source:NCBI gene (formerly Entrezgene);Acc:100196603]</t>
  </si>
  <si>
    <t>IF4E2</t>
  </si>
  <si>
    <t>eukaryotic translation initiation factor 4E family member 2 [Source:ZFIN;Acc:ZDB-GENE-050327-59]</t>
  </si>
  <si>
    <t>mlst8</t>
  </si>
  <si>
    <t>MTOR associated protein, LST8 homolog (S. cerevisiae) [Source:ZFIN;Acc:ZDB-GENE-030131-6176]</t>
  </si>
  <si>
    <t>eif4bb</t>
  </si>
  <si>
    <t>eukaryotic translation initiation factor 4Bb [Source:ZFIN;Acc:ZDB-GENE-030131-8563]</t>
  </si>
  <si>
    <t>mk03</t>
  </si>
  <si>
    <t>Mitogen-activated protein kinase 3 [Source:NCBI gene (formerly Entrezgene);Acc:100380511]</t>
  </si>
  <si>
    <t>CLIP1</t>
  </si>
  <si>
    <t>CAP-Gly domain containing linker protein 1 [Source:HGNC Symbol;Acc:HGNC:10461]</t>
  </si>
  <si>
    <t>SKP2</t>
  </si>
  <si>
    <t>S-phase kinase associated protein 2 [Source:HGNC Symbol;Acc:HGNC:10901]</t>
  </si>
  <si>
    <t>wnt11f2</t>
  </si>
  <si>
    <t>wnt 11, family member 2 [Source:NCBI gene (formerly Entrezgene);Acc:791595]</t>
  </si>
  <si>
    <t>atp6v1d</t>
  </si>
  <si>
    <t>ATPase H+ transporting V1 subunit D [Source:ZFIN;Acc:ZDB-GENE-040426-727]</t>
  </si>
  <si>
    <t>serine/threonine kinase 11 [Source:ZFIN;Acc:ZDB-GENE-050417-383]</t>
  </si>
  <si>
    <t>igf1ra</t>
  </si>
  <si>
    <t>insulin-like growth factor 1a receptor [Source:ZFIN;Acc:ZDB-GENE-020503-1]</t>
  </si>
  <si>
    <t>rragcb</t>
  </si>
  <si>
    <t>Ras-related GTP binding Cb [Source:ZFIN;Acc:ZDB-GENE-070705-380]</t>
  </si>
  <si>
    <t>igf1</t>
  </si>
  <si>
    <t>insulin-like growth factor 1 [Source:ZFIN;Acc:ZDB-GENE-010607-2]</t>
  </si>
  <si>
    <t>mp2k2</t>
  </si>
  <si>
    <t>Dual specificity mitogen-activated protein kinase kinase 2 [Source:NCBI gene (formerly Entrezgene);Acc:100194780]</t>
  </si>
  <si>
    <t>NPRL2</t>
  </si>
  <si>
    <t>NPR2 like, GATOR1 complex subunit [Source:HGNC Symbol;Acc:HGNC:24969]</t>
  </si>
  <si>
    <t>sec13</t>
  </si>
  <si>
    <t>SEC13 homolog, nuclear pore and COPII coat complex component [Source:ZFIN;Acc:ZDB-GENE-040426-2649]</t>
  </si>
  <si>
    <t>lamtor5</t>
  </si>
  <si>
    <t>late endosomal/lysosomal adaptor, MAPK and MTOR activator 5 [Source:ZFIN;Acc:ZDB-GENE-110411-193]</t>
  </si>
  <si>
    <t>rraga</t>
  </si>
  <si>
    <t>Ras-related GTP binding A [Source:NCBI gene (formerly Entrezgene);Acc:100196161]</t>
  </si>
  <si>
    <t>grb2</t>
  </si>
  <si>
    <t>growth factor receptor-bound protein 2 [Source:NCBI gene (formerly Entrezgene);Acc:100306767]</t>
  </si>
  <si>
    <t>rask</t>
  </si>
  <si>
    <t>GTPase KRas [Source:NCBI gene (formerly Entrezgene);Acc:100380437]</t>
  </si>
  <si>
    <t>slc7a5</t>
  </si>
  <si>
    <t>solute carrier family 7 member 5 [Source:ZFIN;Acc:ZDB-GENE-080818-4]</t>
  </si>
  <si>
    <t>v-akt murine thymoma viral oncogene homolog 3b [Source:ZFIN;Acc:ZDB-GENE-110309-3]</t>
  </si>
  <si>
    <t>rhoab</t>
  </si>
  <si>
    <t>ras homolog family, member Ab [Source:NCBI gene (formerly Entrezgene);Acc:100006041]</t>
  </si>
  <si>
    <t>pik3r2</t>
  </si>
  <si>
    <t>phosphoinositide-3-kinase, regulatory subunit 2 (beta) [Source:ZFIN;Acc:ZDB-GENE-040309-1]</t>
  </si>
  <si>
    <t>map2k2b</t>
  </si>
  <si>
    <t>mitogen-activated protein kinase kinase 2b [Source:ZFIN;Acc:ZDB-GENE-080219-34]</t>
  </si>
  <si>
    <t>pik3cd</t>
  </si>
  <si>
    <t>phosphatidylinositol-4,5-bisphosphate 3-kinase, catalytic subunit delta [Source:ZFIN;Acc:ZDB-GENE-040426-1128]</t>
  </si>
  <si>
    <t>deptor</t>
  </si>
  <si>
    <t>DEP domain containing MTOR-interacting protein [Source:ZFIN;Acc:ZDB-GENE-061013-453]</t>
  </si>
  <si>
    <t>hrasa</t>
  </si>
  <si>
    <t>HRas proto-oncogene, GTPase [Source:HGNC Symbol;Acc:HGNC:5173]</t>
  </si>
  <si>
    <t>STK11</t>
  </si>
  <si>
    <t>serine/threonine kinase 11 [Source:HGNC Symbol;Acc:HGNC:11389]</t>
  </si>
  <si>
    <t>FZD7</t>
  </si>
  <si>
    <t>frizzled class receptor 7 [Source:HGNC Symbol;Acc:HGNC:4045]</t>
  </si>
  <si>
    <t>GSK3B</t>
  </si>
  <si>
    <t>glycogen synthase kinase 3 beta [Source:HGNC Symbol;Acc:HGNC:4617]</t>
  </si>
  <si>
    <t>telo2</t>
  </si>
  <si>
    <t>TEL2, telomere maintenance 2, homolog (S. cerevisiae) [Source:NCBI gene (formerly Entrezgene);Acc:777634]</t>
  </si>
  <si>
    <t>fzd1</t>
  </si>
  <si>
    <t>frizzled class receptor 1 [Source:ZFIN;Acc:ZDB-GENE-990415-219]</t>
  </si>
  <si>
    <t>atp6v1c1a</t>
  </si>
  <si>
    <t>ATPase H+ transporting V1 subunit C1a [Source:ZFIN;Acc:ZDB-GENE-030616-612]</t>
  </si>
  <si>
    <t>ATP6V1A</t>
  </si>
  <si>
    <t>ATPase H+ transporting V1 subunit A [Source:HGNC Symbol;Acc:HGNC:851]</t>
  </si>
  <si>
    <t>ikbkb</t>
  </si>
  <si>
    <t>inhibitor of nuclear factor kappa B kinase subunit beta [Source:ZFIN;Acc:ZDB-GENE-071115-2]</t>
  </si>
  <si>
    <t>RPTOR independent companion of MTOR, complex 2 a [Source:ZFIN;Acc:ZDB-GENE-060526-49]</t>
  </si>
  <si>
    <t>wnt2ba</t>
  </si>
  <si>
    <t>wingless-type MMTV integration site family, member 2Ba [Source:ZFIN;Acc:ZDB-GENE-030717-2]</t>
  </si>
  <si>
    <t>tbc1d7</t>
  </si>
  <si>
    <t>map2k1</t>
  </si>
  <si>
    <t>mitogen-activated protein kinase kinase 1 [Source:ZFIN;Acc:ZDB-GENE-040426-2759]</t>
  </si>
  <si>
    <t>ribosomal protein S6 kinase, polypeptide 2 [Source:ZFIN;Acc:ZDB-GENE-090827-1]</t>
  </si>
  <si>
    <t>VATA</t>
  </si>
  <si>
    <t>SGK1</t>
  </si>
  <si>
    <t>serum/glucocorticoid regulated kinase 1 [Source:HGNC Symbol;Acc:HGNC:10810]</t>
  </si>
  <si>
    <t>protein kinase C, beta a [Source:ZFIN;Acc:ZDB-GENE-040426-1354]</t>
  </si>
  <si>
    <t>atp6v1h</t>
  </si>
  <si>
    <t>ATPase H+ transporting V1 subunit H [Source:ZFIN;Acc:ZDB-GENE-021219-2]</t>
  </si>
  <si>
    <t>phosphatidylinositol-4,5-bisphosphate 3-kinase catalytic subunit alpha [Source:HGNC Symbol;Acc:HGNC:8975]</t>
  </si>
  <si>
    <t>AKT1 substrate 1 [Source:HGNC Symbol;Acc:HGNC:28426]</t>
  </si>
  <si>
    <t>growth factor receptor-bound protein 10b [Source:ZFIN;Acc:ZDB-GENE-091020-12]</t>
  </si>
  <si>
    <t>strada</t>
  </si>
  <si>
    <t>STE20 related adaptor alpha [Source:ZFIN;Acc:ZDB-GENE-030131-6482]</t>
  </si>
  <si>
    <t>fzd2</t>
  </si>
  <si>
    <t>frizzled class receptor 2 [Source:ZFIN;Acc:ZDB-GENE-990415-224]</t>
  </si>
  <si>
    <t>nprl3</t>
  </si>
  <si>
    <t>NPR3-like, GATOR1 complex subunit [Source:ZFIN;Acc:ZDB-GENE-030131-1348]</t>
  </si>
  <si>
    <t>rs6</t>
  </si>
  <si>
    <t>rps6ka1</t>
  </si>
  <si>
    <t>ribosomal protein S6 kinase a, polypeptide 1 [Source:ZFIN;Acc:ZDB-GENE-060929-516]</t>
  </si>
  <si>
    <t>PIK3CA</t>
  </si>
  <si>
    <t>si:ch73-335l21.1 [Source:ZFIN;Acc:ZDB-GENE-130530-591]</t>
  </si>
  <si>
    <t>PTEN</t>
  </si>
  <si>
    <t>phosphatase and tensin homolog B [Source:ZFIN;Acc:ZDB-GENE-030616-47]</t>
  </si>
  <si>
    <t>wnt9a</t>
  </si>
  <si>
    <t>wingless-type MMTV integration site family, member 9A [Source:ZFIN;Acc:ZDB-GENE-060825-97]</t>
  </si>
  <si>
    <t>rps6ka3a</t>
  </si>
  <si>
    <t>ribosomal protein S6 kinase a, polypeptide 3a [Source:ZFIN;Acc:ZDB-GENE-030219-119]</t>
  </si>
  <si>
    <t>LAMTOR1</t>
  </si>
  <si>
    <t>late endosomal/lysosomal adaptor, MAPK and MTOR activator 1 [Source:HGNC Symbol;Acc:HGNC:26068]</t>
  </si>
  <si>
    <t>SOS1</t>
  </si>
  <si>
    <t>SOS Ras/Rac guanine nucleotide exchange factor 1 [Source:HGNC Symbol;Acc:HGNC:11187]</t>
  </si>
  <si>
    <t>ddit4</t>
  </si>
  <si>
    <t>DNA-damage-inducible transcript 4 [Source:ZFIN;Acc:ZDB-GENE-031002-35]</t>
  </si>
  <si>
    <t>atp6v1ba</t>
  </si>
  <si>
    <t>ATPase, H+ transporting, lysosomal, V1 subunit B, member a [Source:NCBI gene (formerly Entrezgene);Acc:100196724]</t>
  </si>
  <si>
    <t>tsc1b</t>
  </si>
  <si>
    <t>TSC complex subunit 1b [Source:ZFIN;Acc:ZDB-GENE-030131-3404]</t>
  </si>
  <si>
    <t>akts1</t>
  </si>
  <si>
    <t>Proline-rich AKT1 substrate 1 [Source:NCBI gene (formerly Entrezgene);Acc:100380484]</t>
  </si>
  <si>
    <t>si:ch211-284e13.4 [Source:ZFIN;Acc:ZDB-GENE-060526-161]</t>
  </si>
  <si>
    <t>eif4eb</t>
  </si>
  <si>
    <t>eukaryotic translation initiation factor 4eb [Source:ZFIN;Acc:ZDB-GENE-041121-14]</t>
  </si>
  <si>
    <t>GRB2</t>
  </si>
  <si>
    <t>growth factor receptor-bound protein 2b [Source:ZFIN;Acc:ZDB-GENE-040426-1975]</t>
  </si>
  <si>
    <t>lrp5</t>
  </si>
  <si>
    <t>low density lipoprotein receptor-related protein 5 [Source:ZFIN;Acc:ZDB-GENE-050518-2]</t>
  </si>
  <si>
    <t>akt3a</t>
  </si>
  <si>
    <t>v-akt murine thymoma viral oncogene homolog 3a [Source:ZFIN;Acc:ZDB-GENE-050419-180]</t>
  </si>
  <si>
    <t>FZD6</t>
  </si>
  <si>
    <t>frizzled class receptor 6 [Source:HGNC Symbol;Acc:HGNC:4044]</t>
  </si>
  <si>
    <t>wdr24</t>
  </si>
  <si>
    <t>WD repeat domain 24 [Source:NCBI gene (formerly Entrezgene);Acc:406336]</t>
  </si>
  <si>
    <t>PIK3R1</t>
  </si>
  <si>
    <t>phosphoinositide-3-kinase regulatory subunit 1 [Source:HGNC Symbol;Acc:HGNC:8979]</t>
  </si>
  <si>
    <t>if4e</t>
  </si>
  <si>
    <t>eukaryotic translation initiation factor 4E family member 1c [Source:ZFIN;Acc:ZDB-GENE-050417-398]</t>
  </si>
  <si>
    <t>rheb</t>
  </si>
  <si>
    <t>ras homolog enriched in brain [Source:NCBI gene (formerly Entrezgene);Acc:100195178]</t>
  </si>
  <si>
    <t>vath</t>
  </si>
  <si>
    <t>Vacuolar proton pump subunit H [Source:NCBI gene (formerly Entrezgene);Acc:100194974]</t>
  </si>
  <si>
    <t>v-Ki-ras2 Kirsten rat sarcoma viral oncogene homolog [Source:ZFIN;Acc:ZDB-GENE-040808-67]</t>
  </si>
  <si>
    <t>TTI1</t>
  </si>
  <si>
    <t>TELO2 interacting protein 1 [Source:HGNC Symbol;Acc:HGNC:29029]</t>
  </si>
  <si>
    <t>FZD10</t>
  </si>
  <si>
    <t>frizzled class receptor 10 [Source:HGNC Symbol;Acc:HGNC:4039]</t>
  </si>
  <si>
    <t>prkaa1</t>
  </si>
  <si>
    <t>igf1rb</t>
  </si>
  <si>
    <t>insulin-like growth factor 1b receptor [Source:ZFIN;Acc:ZDB-GENE-020503-2]</t>
  </si>
  <si>
    <t>rhoca</t>
  </si>
  <si>
    <t>ras homolog family member Ca [Source:ZFIN;Acc:ZDB-GENE-040426-1337]</t>
  </si>
  <si>
    <t>RHOA</t>
  </si>
  <si>
    <t>rhebl1</t>
  </si>
  <si>
    <t>tnr1a</t>
  </si>
  <si>
    <t>Tumor necrosis factor receptor superfamily member 1A [Source:NCBI gene (formerly Entrezgene);Acc:100196751]</t>
  </si>
  <si>
    <t>VATE1</t>
  </si>
  <si>
    <t>tnfa</t>
  </si>
  <si>
    <t>tumor necrosis factor a (TNF superfamily, member 2) [Source:ZFIN;Acc:ZDB-GENE-050317-1]</t>
  </si>
  <si>
    <t>lamtor1</t>
  </si>
  <si>
    <t>late endosomal/lysosomal adaptor, MAPK and MTOR activator 1 [Source:ZFIN;Acc:ZDB-GENE-130819-1]</t>
  </si>
  <si>
    <t>zgc:55558</t>
  </si>
  <si>
    <t>zgc:55558 [Source:ZFIN;Acc:ZDB-GENE-040426-740]</t>
  </si>
  <si>
    <t>tsc1</t>
  </si>
  <si>
    <t>TSC complex subunit 1a [Source:ZFIN;Acc:ZDB-GENE-030131-9111]</t>
  </si>
  <si>
    <t>wnt9b</t>
  </si>
  <si>
    <t>wingless-type MMTV integration site family, member 9B [Source:ZFIN;Acc:ZDB-GENE-080201-1]</t>
  </si>
  <si>
    <t>ribosomal protein S6 kinase A3 [Source:HGNC Symbol;Acc:HGNC:10432]</t>
  </si>
  <si>
    <t>nprl2</t>
  </si>
  <si>
    <t>RPS6KA3</t>
  </si>
  <si>
    <t>eif4e1c</t>
  </si>
  <si>
    <t>si:ch211-195b13.1</t>
  </si>
  <si>
    <t>si:ch211-195b13.1 [Source:ZFIN;Acc:ZDB-GENE-030131-7626]</t>
  </si>
  <si>
    <t>wnt8b</t>
  </si>
  <si>
    <t>wingless-type MMTV integration site family, member 8b [Source:NCBI gene (formerly Entrezgene);Acc:30144]</t>
  </si>
  <si>
    <t>PIK3CB</t>
  </si>
  <si>
    <t>phosphatidylinositol-4,5-bisphosphate 3-kinase catalytic subunit beta [Source:HGNC Symbol;Acc:HGNC:8976]</t>
  </si>
  <si>
    <t>PRKCA</t>
  </si>
  <si>
    <t>protein kinase C alpha [Source:HGNC Symbol;Acc:HGNC:9393]</t>
  </si>
  <si>
    <t>Ras homolog, mTORC1 binding [Source:ZFIN;Acc:ZDB-GENE-040426-1690]</t>
  </si>
  <si>
    <t>ribosomal protein S6 kinase b, polypeptide 1a [Source:ZFIN;Acc:ZDB-GENE-091113-52]</t>
  </si>
  <si>
    <t>4f2</t>
  </si>
  <si>
    <t>4F2 cell-surface antigen heavy chain [Source:NCBI gene (formerly Entrezgene);Acc:100195278]</t>
  </si>
  <si>
    <t>cab39l1</t>
  </si>
  <si>
    <t>calcium binding protein 39, like 1 [Source:ZFIN;Acc:ZDB-GENE-040426-2897]</t>
  </si>
  <si>
    <t>wnt5a</t>
  </si>
  <si>
    <t>wingless-type MMTV integration site family, member 5a [Source:ZFIN;Acc:ZDB-GENE-060328-3]</t>
  </si>
  <si>
    <t>igf1r</t>
  </si>
  <si>
    <t>RPS6KB1</t>
  </si>
  <si>
    <t>ribosomal protein S6 kinase B1 [Source:HGNC Symbol;Acc:HGNC:10436]</t>
  </si>
  <si>
    <t>rps6kb1b</t>
  </si>
  <si>
    <t>ribosomal protein S6 kinase b, polypeptide 1b [Source:ZFIN;Acc:ZDB-GENE-040426-2038]</t>
  </si>
  <si>
    <t>ulk1a</t>
  </si>
  <si>
    <t>unc-51 like autophagy activating kinase 1a [Source:ZFIN;Acc:ZDB-GENE-080723-31]</t>
  </si>
  <si>
    <t>rragd</t>
  </si>
  <si>
    <t>ras-related GTP binding D [Source:ZFIN;Acc:ZDB-GENE-070620-6]</t>
  </si>
  <si>
    <t>PRR5</t>
  </si>
  <si>
    <t>RAF1</t>
  </si>
  <si>
    <t>Raf-1 proto-oncogene, serine/threonine kinase [Source:HGNC Symbol;Acc:HGNC:9829]</t>
  </si>
  <si>
    <t>slc38a9</t>
  </si>
  <si>
    <t>solute carrier family 38 member 9 [Source:NCBI gene (formerly Entrezgene);Acc:562137]</t>
  </si>
  <si>
    <t>rragca</t>
  </si>
  <si>
    <t>Ras-related GTP binding Ca [Source:ZFIN;Acc:ZDB-GENE-050522-355]</t>
  </si>
  <si>
    <t>insrb</t>
  </si>
  <si>
    <t>insulin receptor b [Source:ZFIN;Acc:ZDB-GENE-020503-4]</t>
  </si>
  <si>
    <t>wingless-type MMTV integration site family, member 8a [Source:NCBI gene;Acc:30122]</t>
  </si>
  <si>
    <t>raf1b</t>
  </si>
  <si>
    <t>Raf-1 proto-oncogene, serine/threonine kinase b [Source:ZFIN;Acc:ZDB-GENE-090826-2]</t>
  </si>
  <si>
    <t>if4e2</t>
  </si>
  <si>
    <t>Eukaryotic translation initiation factor 4E type 2 [Source:NCBI gene (formerly Entrezgene);Acc:100196384]</t>
  </si>
  <si>
    <t>wnt2</t>
  </si>
  <si>
    <t>wingless-type MMTV integration site family member 2 [Source:NCBI gene (formerly Entrezgene);Acc:30127]</t>
  </si>
  <si>
    <t>VATG1</t>
  </si>
  <si>
    <t>ATPase H+ transporting V1 subunit G1 [Source:ZFIN;Acc:ZDB-GENE-030131-6965]</t>
  </si>
  <si>
    <t>zgc:123305</t>
  </si>
  <si>
    <t>zgc:123305 [Source:ZFIN;Acc:ZDB-GENE-051120-171]</t>
  </si>
  <si>
    <t>WNT7A</t>
  </si>
  <si>
    <t>Wnt family member 7A [Source:HGNC Symbol;Acc:HGNC:12786]</t>
  </si>
  <si>
    <t>FZD5</t>
  </si>
  <si>
    <t>frizzled class receptor 5 [Source:HGNC Symbol;Acc:HGNC:4043]</t>
  </si>
  <si>
    <t>mapk3</t>
  </si>
  <si>
    <t>mitogen-activated protein kinase 3 [Source:ZFIN;Acc:ZDB-GENE-040121-1]</t>
  </si>
  <si>
    <t>All combined = 834</t>
  </si>
  <si>
    <t>no duplicates = 308</t>
  </si>
  <si>
    <t>WNT6</t>
  </si>
  <si>
    <t>Wnt family member 6 [Source:HGNC Symbol;Acc:HGNC:12785]</t>
  </si>
  <si>
    <t>wnt10b</t>
  </si>
  <si>
    <t>wingless-type MMTV integration site family, member 10b [Source:NCBI gene (formerly Entrezgene);Acc:30308]</t>
  </si>
  <si>
    <t>wnt3a</t>
  </si>
  <si>
    <t>wingless-type MMTV integration site family, member 3A [Source:ZFIN;Acc:ZDB-GENE-001106-1]</t>
  </si>
  <si>
    <t>tnf-alpha-2</t>
  </si>
  <si>
    <t>tumor necrosis factor alpha-2 [Source:NCBI gene (formerly Entrezgene);Acc:100136458]</t>
  </si>
  <si>
    <t>wnt6</t>
  </si>
  <si>
    <t>wnt3</t>
  </si>
  <si>
    <t>wingless-type MMTV integration site family, member 3 [Source:ZFIN;Acc:ZDB-GENE-081003-1]</t>
  </si>
  <si>
    <t>eif4e1b</t>
  </si>
  <si>
    <t>eukaryotic translation initiation factor 4E family member 1B [Source:ZFIN;Acc:ZDB-GENE-980526-127]</t>
  </si>
  <si>
    <t>WNT1</t>
  </si>
  <si>
    <t>Wnt family member 1 [Source:HGNC Symbol;Acc:HGNC:12774]</t>
  </si>
  <si>
    <t>wnt16</t>
  </si>
  <si>
    <t>wingless-type MMTV integration site family, member 16 [Source:ZFIN;Acc:ZDB-GENE-040426-2330]</t>
  </si>
  <si>
    <t>wnt4b</t>
  </si>
  <si>
    <t>wingless-type MMTV integration site family, member 4b [Source:ZFIN;Acc:ZDB-GENE-000411-1]</t>
  </si>
  <si>
    <t>ENSSSAG00000096966, ENSSSAG00000072238</t>
  </si>
  <si>
    <t>ENSSSAG00000063229, ENSSSAG00000058799, ENSSSAG00000064436, ENSSSAG00000062930, ENSSSAG00000000691, ENSSSAG00000080127, ENSSSAG00000069204, ENSSSAG00000050701, ENSSSAG00000075326, ENSSSAG00000079805, ENSSSAG00000004368, ENSSSAG00000009933, ENSSSAG00000078711, ENSSSAG00000010140, ENSSSAG00000077501, ENSSSAG00000076897, ENSSSAG00000004924, ENSSSAG00000082778, ENSSSAG00000064449, ENSSSAG00000090834, ENSSSAG00000003034, ENSSSAG00000048063, ENSSSAG00000044375, ENSSSAG00000045104, ENSSSAG00000081329, ENSSSAG00000111850, ENSSSAG00000007986, ENSSSAG00000078964, ENSSSAG00000075450, ENSSSAG00000094876, ENSSSAG00000056357, ENSSSAG00000000318, ENSSSAG00000054056, ENSSSAG00000070682, ENSSSAG00000092453, ENSSSAG00000064418, ENSSSAG00000061388, ENSSSAG00000079590, ENSSSAG00000042302, ENSSSAG00000049857, ENSSSAG00000075429, ENSSSAG00000090269, ENSSSAG00000054521, ENSSSAG00000056385, ENSSSAG00000117983, ENSSSAG00000054084, ENSSSAG00000058668, ENSSSAG00000065634, ENSSSAG00000064425, ENSSSAG00000088178, ENSSSAG00000040476, ENSSSAG00000061151, ENSSSAG00000061272, ENSSSAG00000082990, ENSSSAG00000084013, ENSSSAG00000007052, ENSSSAG00000001987, ENSSSAG00000069442, ENSSSAG00000056819, ENSSSAG00000044156, ENSSSAG00000104675, ENSSSAG00000098539, ENSSSAG00000073814, ENSSSAG00000046217, ENSSSAG00000053783, ENSSSAG00000055167, ENSSSAG00000073374, ENSSSAG00000026509, ENSSSAG00000087757, ENSSSAG00000090804, ENSSSAG00000077150, ENSSSAG00000008770, ENSSSAG00000078121, ENSSSAG00000057788, ENSSSAG00000102037, ENSSSAG00000069400, ENSSSAG00000068795, ENSSSAG00000077705, ENSSSAG00000031718, ENSSSAG00000047179, ENSSSAG00000068681, ENSSSAG00000078911, ENSSSAG00000001575, ENSSSAG00000108388, ENSSSAG00000000363, ENSSSAG00000065291, ENSSSAG00000004049, ENSSSAG00000070070, ENSSSAG00000013056, ENSSSAG00000055476, ENSSSAG00000078232, ENSSSAG00000039308, ENSSSAG00000120036, ENSSSAG00000077280, ENSSSAG00000115585, ENSSSAG00000066945, ENSSSAG00000105539, ENSSSAG00000081887, ENSSSAG00000106504, ENSSSAG00000071975, ENSSSAG00000103240, ENSSSAG00000098197, ENSSSAG00000120041, ENSSSAG00000047729, ENSSSAG00000077396, ENSSSAG00000000910, ENSSSAG00000081195, ENSSSAG00000064739, ENSSSAG00000076163, ENSSSAG00000009841, ENSSSAG00000007302, ENSSSAG00000107509, ENSSSAG00000063882, ENSSSAG00000089475, ENSSSAG00000066237, ENSSSAG00000044371, ENSSSAG00000044252, ENSSSAG00000054728, ENSSSAG00000014280, ENSSSAG00000114958, ENSSSAG00000087185, ENSSSAG00000051579, ENSSSAG00000047997, ENSSSAG00000072238, ENSSSAG00000080426, ENSSSAG00000113622, ENSSSAG00000015372, ENSSSAG00000075500, ENSSSAG00000057099, ENSSSAG00000098985, ENSSSAG00000077020, ENSSSAG00000110593, ENSSSAG00000064504, ENSSSAG00000102843, ENSSSAG00000045570, ENSSSAG00000112091, ENSSSAG00000042174, ENSSSAG00000068784, ENSSSAG00000043385, ENSSSAG00000051448, ENSSSAG00000046893, ENSSSAG00000045683, ENSSSAG00000101880, ENSSSAG00000054714, ENSSSAG00000108034, ENSSSAG00000092192, ENSSSAG00000090697, ENSSSAG00000006438, ENSSSAG00000055488, ENSSSAG00000114946, ENSSSAG00000074540, ENSSSAG00000009421, ENSSSAG00000009422, ENSSSAG00000062653, ENSSSAG00000079094, ENSSSAG00000068518, ENSSSAG00000015667, ENSSSAG00000058955, ENSSSAG00000121276, ENSSSAG00000100332, ENSSSAG00000120506, ENSSSAG00000001260, ENSSSAG00000051639, ENSSSAG00000068992, ENSSSAG00000041161, ENSSSAG00000073424, ENSSSAG00000072696, ENSSSAG00000086070, ENSSSAG00000096426, ENSSSAG00000052045, ENSSSAG00000015795, ENSSSAG00000090440, ENSSSAG00000090681, ENSSSAG00000095698, ENSSSAG00000083105, ENSSSAG00000052281, ENSSSAG00000118892, ENSSSAG00000004760, ENSSSAG00000093827, ENSSSAG00000001130, ENSSSAG00000119062, ENSSSAG00000010306, ENSSSAG00000019916, ENSSSAG00000106789, ENSSSAG00000067794, ENSSSAG00000104497, ENSSSAG00000071257, ENSSSAG00000068095, ENSSSAG00000045623, ENSSSAG00000046715, ENSSSAG00000116109, ENSSSAG00000111573, ENSSSAG00000043206, ENSSSAG00000052155, ENSSSAG00000076022, ENSSSAG00000052394, ENSSSAG00000098279, ENSSSAG00000076388, ENSSSAG00000001801, ENSSSAG00000088901, ENSSSAG00000041617, ENSSSAG00000043918, ENSSSAG00000116020, ENSSSAG00000063963, ENSSSAG00000062874, ENSSSAG00000081390, ENSSSAG00000040880, ENSSSAG00000046073, ENSSSAG00000066553, ENSSSAG00000071907, ENSSSAG00000054808, ENSSSAG00000003778, ENSSSAG00000054921, ENSSSAG00000078896, ENSSSAG00000057291, ENSSSAG00000070370, ENSSSAG00000075262, ENSSSAG00000078530, ENSSSAG00000086833, ENSSSAG00000004062, ENSSSAG00000005393, ENSSSAG00000042015, ENSSSAG00000120618, ENSSSAG00000103858, ENSSSAG00000047398, ENSSSAG00000045099, ENSSSAG00000108635, ENSSSAG00000043463, ENSSSAG00000051406, ENSSSAG00000001102, ENSSSAG00000074869, ENSSSAG00000051886, ENSSSAG00000092832, ENSSSAG00000110143, ENSSSAG00000076242, ENSSSAG00000056654, ENSSSAG00000042939, ENSSSAG00000056892, ENSSSAG00000063702, ENSSSAG00000057025, ENSSSAG00000068716, ENSSSAG00000090406, ENSSSAG00000089653, ENSSSAG00000063388, ENSSSAG00000065440, ENSSSAG00000067620, ENSSSAG00000068165, ENSSSAG00000071324, ENSSSAG00000122050, ENSSSAG00000075007, ENSSSAG00000069372, ENSSSAG00000081935, ENSSSAG00000101472, ENSSSAG00000057156, ENSSSAG00000038616, ENSSSAG00000042315, ENSSSAG00000037403, ENSSSAG00000076906, ENSSSAG00000039035, ENSSSAG00000078764, ENSSSAG00000074165, ENSSSAG00000109186, ENSSSAG00000076220, ENSSSAG00000050171, ENSSSAG00000119416, ENSSSAG00000099686, ENSSSAG00000073990, ENSSSAG00000070363, ENSSSAG00000080142, ENSSSAG00000008233, ENSSSAG00000031333, ENSSSAG00000008359, ENSSSAG00000064338, ENSSSAG00000038645, ENSSSAG00000039735, ENSSSAG00000085395, ENSSSAG00000041252, ENSSSAG00000120525, ENSSSAG00000008591, ENSSSAG00000110636, ENSSSAG00000070332, ENSSSAG00000007939, ENSSSAG00000048447, ENSSSAG00000066081, ENSSSAG00000096966, ENSSSAG00000072637, ENSSSAG00000086371, ENSSSAG00000076313, ENSSSAG00000074496, ENSSSAG00000047918, ENSSSAG00000075481, ENSSSAG00000068824, ENSSSAG00000081347, ENSSSAG00000069118, ENSSSAG00000046140, ENSSSAG00000086478, ENSSSAG00000047230, ENSSSAG00000105288, ENSSSAG00000094770, ENSSSAG00000002358, ENSSSAG00000044993, ENSSSAG00000005984, ENSSSAG00000097482, ENSSSAG00000008217, ENSSSAG00000050992, ENSSSAG00000004899, ENSSSAG00000096156, ENSSSAG00000041805</t>
  </si>
  <si>
    <t>ENSSSAG00000063229, ENSSSAG00000009422, ENSSSAG00000079094, ENSSSAG00000015667, ENSSSAG00000080127, ENSSSAG00000100332, ENSSSAG00000041161, ENSSSAG00000073424, ENSSSAG00000075326, ENSSSAG00000009933, ENSSSAG00000076897, ENSSSAG00000095698, ENSSSAG00000001130, ENSSSAG00000104497, ENSSSAG00000071257, ENSSSAG00000068095, ENSSSAG00000045104, ENSSSAG00000046715, ENSSSAG00000111573, ENSSSAG00000043206, ENSSSAG00000052155, ENSSSAG00000075450, ENSSSAG00000052394, ENSSSAG00000070682, ENSSSAG00000001801, ENSSSAG00000076388, ENSSSAG00000041617, ENSSSAG00000062874, ENSSSAG00000063963, ENSSSAG00000040880, ENSSSAG00000054808, ENSSSAG00000090269, ENSSSAG00000054521, ENSSSAG00000078530, ENSSSAG00000004062, ENSSSAG00000005393, ENSSSAG00000056385, ENSSSAG00000065634, ENSSSAG00000042015, ENSSSAG00000120618, ENSSSAG00000061272, ENSSSAG00000047398, ENSSSAG00000082990, ENSSSAG00000084013, ENSSSAG00000108635, ENSSSAG00000044156, ENSSSAG00000073814, ENSSSAG00000073374, ENSSSAG00000026509, ENSSSAG00000087757, ENSSSAG00000057788, ENSSSAG00000090406, ENSSSAG00000089653, ENSSSAG00000063388, ENSSSAG00000065440, ENSSSAG00000102037, ENSSSAG00000069400, ENSSSAG00000031718, ENSSSAG00000122050, ENSSSAG00000047179, ENSSSAG00000068681, ENSSSAG00000081935, ENSSSAG00000001575, ENSSSAG00000101472, ENSSSAG00000000363, ENSSSAG00000055476, ENSSSAG00000057156, ENSSSAG00000039308, ENSSSAG00000076220, ENSSSAG00000099686, ENSSSAG00000073990, ENSSSAG00000070363, ENSSSAG00000081195, ENSSSAG00000076163, ENSSSAG00000038645, ENSSSAG00000107509, ENSSSAG00000066237, ENSSSAG00000085395, ENSSSAG00000120525, ENSSSAG00000110636, ENSSSAG00000070332, ENSSSAG00000014280, ENSSSAG00000087185, ENSSSAG00000072637, ENSSSAG00000057099, ENSSSAG00000110593, ENSSSAG00000068824, ENSSSAG00000046140, ENSSSAG00000046893, ENSSSAG00000045683, ENSSSAG00000092192, ENSSSAG00000005984, ENSSSAG00000097482, ENSSSAG00000006438, ENSSSAG00000050992, ENSSSAG00000055488, ENSSSAG00000004899, ENSSSAG00000096156, ENSSSAG00000041805</t>
  </si>
  <si>
    <t>ENSSSAG00000009422, ENSSSAG00000079094, ENSSSAG00000015667, ENSSSAG00000080127, ENSSSAG00000068992, ENSSSAG00000073424, ENSSSAG00000075326, ENSSSAG00000015795, ENSSSAG00000009933, ENSSSAG00000076897, ENSSSAG00000019916, ENSSSAG00000104497, ENSSSAG00000071257, ENSSSAG00000068095, ENSSSAG00000081329, ENSSSAG00000046715, ENSSSAG00000043206, ENSSSAG00000007986, ENSSSAG00000054056, ENSSSAG00000052394, ENSSSAG00000000318, ENSSSAG00000001801, ENSSSAG00000076388, ENSSSAG00000041617, ENSSSAG00000088901, ENSSSAG00000062874, ENSSSAG00000063963, ENSSSAG00000081390, ENSSSAG00000042302, ENSSSAG00000040880, ENSSSAG00000054808, ENSSSAG00000054921, ENSSSAG00000078896, ENSSSAG00000090269, ENSSSAG00000054521, ENSSSAG00000078530, ENSSSAG00000056385, ENSSSAG00000065634, ENSSSAG00000042015, ENSSSAG00000120618, ENSSSAG00000061272, ENSSSAG00000084013, ENSSSAG00000069442, ENSSSAG00000108635, ENSSSAG00000044156, ENSSSAG00000073814, ENSSSAG00000073374, ENSSSAG00000026509, ENSSSAG00000087757, ENSSSAG00000057788, ENSSSAG00000063388, ENSSSAG00000065440, ENSSSAG00000102037, ENSSSAG00000069400, ENSSSAG00000031718, ENSSSAG00000047179, ENSSSAG00000078911, ENSSSAG00000081935, ENSSSAG00000001575, ENSSSAG00000101472, ENSSSAG00000065291, ENSSSAG00000055476, ENSSSAG00000103240, ENSSSAG00000047729, ENSSSAG00000076220, ENSSSAG00000099686, ENSSSAG00000073990, ENSSSAG00000070363, ENSSSAG00000081195, ENSSSAG00000076163, ENSSSAG00000038645, ENSSSAG00000107509, ENSSSAG00000085395, ENSSSAG00000041252, ENSSSAG00000120525, ENSSSAG00000110636, ENSSSAG00000070332, ENSSSAG00000048447, ENSSSAG00000014280, ENSSSAG00000066081, ENSSSAG00000087185, ENSSSAG00000072637, ENSSSAG00000086371, ENSSSAG00000076313, ENSSSAG00000057099, ENSSSAG00000110593, ENSSSAG00000081347, ENSSSAG00000046140, ENSSSAG00000042174, ENSSSAG00000094770, ENSSSAG00000054714, ENSSSAG00000101880, ENSSSAG00000092192, ENSSSAG00000005984, ENSSSAG00000097482, ENSSSAG00000050992, ENSSSAG00000055488, ENSSSAG00000004899, ENSSSAG00000096156, ENSSSAG00000041805</t>
  </si>
  <si>
    <t>ENSSSAG00000063702, ENSSSAG00000057025, ENSSSAG00000064436, ENSSSAG00000015667, ENSSSAG00000090406, ENSSSAG00000062930, ENSSSAG00000121276, ENSSSAG00000063388, ENSSSAG00000120506, ENSSSAG00000051639, ENSSSAG00000102037, ENSSSAG00000073424, ENSSSAG00000075007, ENSSSAG00000122050, ENSSSAG00000086070, ENSSSAG00000096426, ENSSSAG00000069372, ENSSSAG00000101472, ENSSSAG00000070070, ENSSSAG00000009933, ENSSSAG00000077501, ENSSSAG00000090440, ENSSSAG00000090681, ENSSSAG00000095698, ENSSSAG00000083105, ENSSSAG00000052281, ENSSSAG00000118892, ENSSSAG00000003034, ENSSSAG00000106504, ENSSSAG00000106789, ENSSSAG00000067794, ENSSSAG00000098197, ENSSSAG00000120041, ENSSSAG00000043206, ENSSSAG00000109186, ENSSSAG00000094876, ENSSSAG00000056357, ENSSSAG00000050171, ENSSSAG00000098279, ENSSSAG00000099686, ENSSSAG00000119416, ENSSSAG00000001801, ENSSSAG00000076388, ENSSSAG00000080142, ENSSSAG00000064418, ENSSSAG00000081195, ENSSSAG00000061388, ENSSSAG00000064739, ENSSSAG00000079590, ENSSSAG00000107509, ENSSSAG00000089475, ENSSSAG00000066553, ENSSSAG00000044252, ENSSSAG00000110636, ENSSSAG00000014280, ENSSSAG00000114958, ENSSSAG00000072637, ENSSSAG00000087185, ENSSSAG00000049857, ENSSSAG00000047918, ENSSSAG00000086833, ENSSSAG00000054084, ENSSSAG00000058668, ENSSSAG00000110593, ENSSSAG00000064504, ENSSSAG00000088178, ENSSSAG00000082990, ENSSSAG00000007052, ENSSSAG00000068784, ENSSSAG00000051448, ENSSSAG00000105288, ENSSSAG00000104675, ENSSSAG00000002358, ENSSSAG00000074869, ENSSSAG00000092832, ENSSSAG00000090697, ENSSSAG00000008217, ENSSSAG00000076242, ENSSSAG00000056654, ENSSSAG00000114946, ENSSSAG00000074540, ENSSSAG00000041805</t>
  </si>
  <si>
    <t>ENSSSAG00000087757, ENSSSAG00000062653, ENSSSAG00000068716, ENSSSAG00000079094, ENSSSAG00000058799, ENSSSAG00000057788, ENSSSAG00000015667, ENSSSAG00000058955, ENSSSAG00000080127, ENSSSAG00000063388, ENSSSAG00000065440, ENSSSAG00000102037, ENSSSAG00000068992, ENSSSAG00000073424, ENSSSAG00000041161, ENSSSAG00000031718, ENSSSAG00000075326, ENSSSAG00000078911, ENSSSAG00000108388, ENSSSAG00000081935, ENSSSAG00000001575, ENSSSAG00000000363, ENSSSAG00000101472, ENSSSAG00000065291, ENSSSAG00000009933, ENSSSAG00000076897, ENSSSAG00000057156, ENSSSAG00000039308, ENSSSAG00000001130, ENSSSAG00000104497, ENSSSAG00000044375, ENSSSAG00000071257, ENSSSAG00000068095, ENSSSAG00000045104, ENSSSAG00000081329, ENSSSAG00000043206, ENSSSAG00000047729, ENSSSAG00000052155, ENSSSAG00000111573, ENSSSAG00000075450, ENSSSAG00000099686, ENSSSAG00000073990, ENSSSAG00000070363, ENSSSAG00000001801, ENSSSAG00000076388, ENSSSAG00000081195, ENSSSAG00000107509, ENSSSAG00000040880, ENSSSAG00000085395, ENSSSAG00000044371, ENSSSAG00000120525, ENSSSAG00000008591, ENSSSAG00000054808, ENSSSAG00000070332, ENSSSAG00000110636, ENSSSAG00000014280, ENSSSAG00000072637, ENSSSAG00000087185, ENSSSAG00000086371, ENSSSAG00000047997, ENSSSAG00000078896, ENSSSAG00000070370, ENSSSAG00000090269, ENSSSAG00000054521, ENSSSAG00000076313, ENSSSAG00000078530, ENSSSAG00000005393, ENSSSAG00000056385, ENSSSAG00000065634, ENSSSAG00000110593, ENSSSAG00000068824, ENSSSAG00000042015, ENSSSAG00000120618, ENSSSAG00000061272, ENSSSAG00000069118, ENSSSAG00000108635, ENSSSAG00000046893, ENSSSAG00000094770, ENSSSAG00000044156, ENSSSAG00000054714, ENSSSAG00000073814, ENSSSAG00000092192, ENSSSAG00000005984, ENSSSAG00000050992, ENSSSAG00000055488, ENSSSAG00000004899, ENSSSAG00000096156, ENSSSAG00000073374, ENSSSAG00000026509, ENSSSAG00000041805</t>
  </si>
  <si>
    <t>ENSSSAG00000087757, ENSSSAG00000079094, ENSSSAG00000057788, ENSSSAG00000015667, ENSSSAG00000090406, ENSSSAG00000063388, ENSSSAG00000065440, ENSSSAG00000102037, ENSSSAG00000069400, ENSSSAG00000073424, ENSSSAG00000031718, ENSSSAG00000122050, ENSSSAG00000075326, ENSSSAG00000081935, ENSSSAG00000001575, ENSSSAG00000000363, ENSSSAG00000101472, ENSSSAG00000009933, ENSSSAG00000076897, ENSSSAG00000095698, ENSSSAG00000057156, ENSSSAG00000039308, ENSSSAG00000001130, ENSSSAG00000104497, ENSSSAG00000071257, ENSSSAG00000068095, ENSSSAG00000046715, ENSSSAG00000043206, ENSSSAG00000111573, ENSSSAG00000075450, ENSSSAG00000076220, ENSSSAG00000094876, ENSSSAG00000099686, ENSSSAG00000073990, ENSSSAG00000070363, ENSSSAG00000001801, ENSSSAG00000076388, ENSSSAG00000041617, ENSSSAG00000081195, ENSSSAG00000076163, ENSSSAG00000063963, ENSSSAG00000038645, ENSSSAG00000107509, ENSSSAG00000085395, ENSSSAG00000120525, ENSSSAG00000054808, ENSSSAG00000110636, ENSSSAG00000014280, ENSSSAG00000072637, ENSSSAG00000087185, ENSSSAG00000005393, ENSSSAG00000056385, ENSSSAG00000110593, ENSSSAG00000068824, ENSSSAG00000120618, ENSSSAG00000061272, ENSSSAG00000047398, ENSSSAG00000082990, ENSSSAG00000007052, ENSSSAG00000044156, ENSSSAG00000073814, ENSSSAG00000005984, ENSSSAG00000050992, ENSSSAG00000055488, ENSSSAG00000096156, ENSSSAG00000073374, ENSSSAG00000026509, ENSSSAG00000041805</t>
  </si>
  <si>
    <t>ENSSSAG00000063702, ENSSSAG00000090804, ENSSSAG00000057025, ENSSSAG00000064436, ENSSSAG00000090406, ENSSSAG00000062930, ENSSSAG00000121276, ENSSSAG00000120506, ENSSSAG00000051639, ENSSSAG00000050701, ENSSSAG00000075007, ENSSSAG00000122050, ENSSSAG00000086070, ENSSSAG00000096426, ENSSSAG00000069372, ENSSSAG00000070070, ENSSSAG00000077501, ENSSSAG00000090440, ENSSSAG00000090681, ENSSSAG00000095698, ENSSSAG00000083105, ENSSSAG00000052281, ENSSSAG00000118892, ENSSSAG00000003034, ENSSSAG00000076906, ENSSSAG00000106504, ENSSSAG00000106789, ENSSSAG00000067794, ENSSSAG00000098197, ENSSSAG00000120041, ENSSSAG00000109186, ENSSSAG00000094876, ENSSSAG00000056357, ENSSSAG00000050171, ENSSSAG00000098279, ENSSSAG00000119416, ENSSSAG00000080142, ENSSSAG00000064418, ENSSSAG00000061388, ENSSSAG00000064739, ENSSSAG00000116020, ENSSSAG00000007302, ENSSSAG00000079590, ENSSSAG00000089475, ENSSSAG00000066553, ENSSSAG00000044252, ENSSSAG00000114958, ENSSSAG00000051579, ENSSSAG00000049857, ENSSSAG00000080426, ENSSSAG00000113622, ENSSSAG00000047918, ENSSSAG00000086833, ENSSSAG00000054084, ENSSSAG00000058668, ENSSSAG00000064425, ENSSSAG00000064504, ENSSSAG00000088178, ENSSSAG00000082990, ENSSSAG00000007052, ENSSSAG00000068784, ENSSSAG00000056819, ENSSSAG00000051448, ENSSSAG00000105288, ENSSSAG00000104675, ENSSSAG00000002358, ENSSSAG00000074869, ENSSSAG00000092832, ENSSSAG00000090697, ENSSSAG00000008217, ENSSSAG00000076242, ENSSSAG00000056654, ENSSSAG00000114946, ENSSSAG00000074540</t>
  </si>
  <si>
    <t>ENSSSAG00000087757, ENSSSAG00000077150, ENSSSAG00000079094, ENSSSAG00000057788, ENSSSAG00000015667, ENSSSAG00000063388, ENSSSAG00000065440, ENSSSAG00000001260, ENSSSAG00000073424, ENSSSAG00000031718, ENSSSAG00000075326, ENSSSAG00000108388, ENSSSAG00000081935, ENSSSAG00000001575, ENSSSAG00000101472, ENSSSAG00000078711, ENSSSAG00000076897, ENSSSAG00000104497, ENSSSAG00000044375, ENSSSAG00000071257, ENSSSAG00000068095, ENSSSAG00000043206, ENSSSAG00000047729, ENSSSAG00000078964, ENSSSAG00000099686, ENSSSAG00000073990, ENSSSAG00000070363, ENSSSAG00000001801, ENSSSAG00000009841, ENSSSAG00000085395, ENSSSAG00000046073, ENSSSAG00000120525, ENSSSAG00000054808, ENSSSAG00000014280, ENSSSAG00000072637, ENSSSAG00000087185, ENSSSAG00000086371, ENSSSAG00000015372, ENSSSAG00000056385, ENSSSAG00000110593, ENSSSAG00000120618, ENSSSAG00000061272, ENSSSAG00000103858, ENSSSAG00000044156, ENSSSAG00000054714, ENSSSAG00000073814, ENSSSAG00000005984, ENSSSAG00000050992, ENSSSAG00000055488, ENSSSAG00000096156, ENSSSAG00000073374, ENSSSAG00000026509, ENSSSAG00000041805</t>
  </si>
  <si>
    <t>ENSSSAG00000087757, ENSSSAG00000081195, ENSSSAG00000079094, ENSSSAG00000057788, ENSSSAG00000015667, ENSSSAG00000107509, ENSSSAG00000063388, ENSSSAG00000085395, ENSSSAG00000065440, ENSSSAG00000102037, ENSSSAG00000120525, ENSSSAG00000054808, ENSSSAG00000110636, ENSSSAG00000073424, ENSSSAG00000031718, ENSSSAG00000014280, ENSSSAG00000075326, ENSSSAG00000072637, ENSSSAG00000081935, ENSSSAG00000001575, ENSSSAG00000087185, ENSSSAG00000101472, ENSSSAG00000009933, ENSSSAG00000076897, ENSSSAG00000056385, ENSSSAG00000110593, ENSSSAG00000120618, ENSSSAG00000061272, ENSSSAG00000007052, ENSSSAG00000104497, ENSSSAG00000044156, ENSSSAG00000071257, ENSSSAG00000068095, ENSSSAG00000073814, ENSSSAG00000005984, ENSSSAG00000043206, ENSSSAG00000050992, ENSSSAG00000094876, ENSSSAG00000055488, ENSSSAG00000096156, ENSSSAG00000099686, ENSSSAG00000073990, ENSSSAG00000070363, ENSSSAG00000073374, ENSSSAG00000026509, ENSSSAG00000001801, ENSSSAG00000076388, ENSSSAG00000041805</t>
  </si>
  <si>
    <t>ENSSSAG00000087757, ENSSSAG00000090804, ENSSSAG00000062653, ENSSSAG00000079094, ENSSSAG00000057788, ENSSSAG00000015667, ENSSSAG00000063388, ENSSSAG00000065440, ENSSSAG00000050701, ENSSSAG00000031718, ENSSSAG00000075326, ENSSSAG00000081935, ENSSSAG00000001575, ENSSSAG00000101472, ENSSSAG00000076897, ENSSSAG00000076906, ENSSSAG00000104497, ENSSSAG00000071257, ENSSSAG00000068095, ENSSSAG00000045104, ENSSSAG00000043206, ENSSSAG00000099686, ENSSSAG00000073990, ENSSSAG00000070363, ENSSSAG00000001801, ENSSSAG00000076388, ENSSSAG00000116020, ENSSSAG00000007302, ENSSSAG00000107509, ENSSSAG00000085395, ENSSSAG00000044371, ENSSSAG00000120525, ENSSSAG00000054808, ENSSSAG00000014280, ENSSSAG00000072637, ENSSSAG00000087185, ENSSSAG00000047997, ENSSSAG00000051579, ENSSSAG00000080426, ENSSSAG00000113622, ENSSSAG00000056385, ENSSSAG00000110593, ENSSSAG00000120618, ENSSSAG00000061272, ENSSSAG00000044156, ENSSSAG00000044993, ENSSSAG00000073814, ENSSSAG00000005984, ENSSSAG00000050992, ENSSSAG00000053783, ENSSSAG00000055488, ENSSSAG00000096156, ENSSSAG00000073374, ENSSSAG00000026509, ENSSSAG00000041805</t>
  </si>
  <si>
    <t>ENSSSAG00000087757, ENSSSAG00000090804, ENSSSAG00000079094, ENSSSAG00000057788, ENSSSAG00000015667, ENSSSAG00000090406, ENSSSAG00000065440, ENSSSAG00000068992, ENSSSAG00000073424, ENSSSAG00000050701, ENSSSAG00000031718, ENSSSAG00000122050, ENSSSAG00000075326, ENSSSAG00000078911, ENSSSAG00000108388, ENSSSAG00000081935, ENSSSAG00000001575, ENSSSAG00000000363, ENSSSAG00000076897, ENSSSAG00000095698, ENSSSAG00000057156, ENSSSAG00000039308, ENSSSAG00000001130, ENSSSAG00000076906, ENSSSAG00000104497, ENSSSAG00000044375, ENSSSAG00000071257, ENSSSAG00000068095, ENSSSAG00000043206, ENSSSAG00000047729, ENSSSAG00000111573, ENSSSAG00000075450, ENSSSAG00000094876, ENSSSAG00000073990, ENSSSAG00000070363, ENSSSAG00000001801, ENSSSAG00000076388, ENSSSAG00000116020, ENSSSAG00000007302, ENSSSAG00000107509, ENSSSAG00000085395, ENSSSAG00000120525, ENSSSAG00000054808, ENSSSAG00000014280, ENSSSAG00000072637, ENSSSAG00000087185, ENSSSAG00000086371, ENSSSAG00000051579, ENSSSAG00000080426, ENSSSAG00000078896, ENSSSAG00000113622, ENSSSAG00000054521, ENSSSAG00000076313, ENSSSAG00000005393, ENSSSAG00000056385, ENSSSAG00000110593, ENSSSAG00000068824, ENSSSAG00000042015, ENSSSAG00000120618, ENSSSAG00000061272, ENSSSAG00000082990, ENSSSAG00000007052, ENSSSAG00000044156, ENSSSAG00000054714, ENSSSAG00000073814, ENSSSAG00000005984, ENSSSAG00000050992, ENSSSAG00000055488, ENSSSAG00000096156, ENSSSAG00000073374, ENSSSAG00000026509</t>
  </si>
  <si>
    <t>ENSSSAG00000087757, ENSSSAG00000062653, ENSSSAG00000079094, ENSSSAG00000057788, ENSSSAG00000015667, ENSSSAG00000063388, ENSSSAG00000065440, ENSSSAG00000102037, ENSSSAG00000073424, ENSSSAG00000031718, ENSSSAG00000075326, ENSSSAG00000081935, ENSSSAG00000001575, ENSSSAG00000101472, ENSSSAG00000009933, ENSSSAG00000076897, ENSSSAG00000081887, ENSSSAG00000104497, ENSSSAG00000071257, ENSSSAG00000068095, ENSSSAG00000045104, ENSSSAG00000043206, ENSSSAG00000099686, ENSSSAG00000073990, ENSSSAG00000070363, ENSSSAG00000001801, ENSSSAG00000076388, ENSSSAG00000081195, ENSSSAG00000107509, ENSSSAG00000085395, ENSSSAG00000044371, ENSSSAG00000120525, ENSSSAG00000054808, ENSSSAG00000110636, ENSSSAG00000014280, ENSSSAG00000072637, ENSSSAG00000087185, ENSSSAG00000047997, ENSSSAG00000054521, ENSSSAG00000074496, ENSSSAG00000056385, ENSSSAG00000110593, ENSSSAG00000042015, ENSSSAG00000120618, ENSSSAG00000061272, ENSSSAG00000044156, ENSSSAG00000051406, ENSSSAG00000044993, ENSSSAG00000073814, ENSSSAG00000005984, ENSSSAG00000050992, ENSSSAG00000053783, ENSSSAG00000055488, ENSSSAG00000096156, ENSSSAG00000073374, ENSSSAG00000026509, ENSSSAG00000041805</t>
  </si>
  <si>
    <t>ENSSSAG00000087757, ENSSSAG00000009422, ENSSSAG00000079094, ENSSSAG00000057788, ENSSSAG00000015667, ENSSSAG00000063388, ENSSSAG00000065440, ENSSSAG00000102037, ENSSSAG00000068992, ENSSSAG00000073424, ENSSSAG00000031718, ENSSSAG00000075326, ENSSSAG00000078911, ENSSSAG00000081935, ENSSSAG00000001575, ENSSSAG00000101472, ENSSSAG00000009933, ENSSSAG00000076897, ENSSSAG00000055476, ENSSSAG00000104497, ENSSSAG00000071257, ENSSSAG00000068095, ENSSSAG00000046715, ENSSSAG00000043206, ENSSSAG00000052394, ENSSSAG00000099686, ENSSSAG00000073990, ENSSSAG00000070363, ENSSSAG00000001801, ENSSSAG00000076388, ENSSSAG00000081195, ENSSSAG00000062874, ENSSSAG00000107509, ENSSSAG00000085395, ENSSSAG00000120525, ENSSSAG00000054808, ENSSSAG00000110636, ENSSSAG00000014280, ENSSSAG00000072637, ENSSSAG00000087185, ENSSSAG00000078896, ENSSSAG00000076313, ENSSSAG00000057099, ENSSSAG00000056385, ENSSSAG00000110593, ENSSSAG00000120618, ENSSSAG00000061272, ENSSSAG00000047398, ENSSSAG00000084013, ENSSSAG00000044156, ENSSSAG00000073814, ENSSSAG00000005984, ENSSSAG00000097482, ENSSSAG00000050992, ENSSSAG00000055488, ENSSSAG00000096156, ENSSSAG00000073374, ENSSSAG00000026509, ENSSSAG00000041805</t>
  </si>
  <si>
    <t>ENSSSAG00000087757, ENSSSAG00000081195, ENSSSAG00000079094, ENSSSAG00000062653, ENSSSAG00000057788, ENSSSAG00000085395, ENSSSAG00000065440, ENSSSAG00000044371, ENSSSAG00000102037, ENSSSAG00000120525, ENSSSAG00000054808, ENSSSAG00000110636, ENSSSAG00000073424, ENSSSAG00000031718, ENSSSAG00000075326, ENSSSAG00000072637, ENSSSAG00000081935, ENSSSAG00000001575, ENSSSAG00000047997, ENSSSAG00000009933, ENSSSAG00000076897, ENSSSAG00000056385, ENSSSAG00000110593, ENSSSAG00000120618, ENSSSAG00000061272, ENSSSAG00000104497, ENSSSAG00000044156, ENSSSAG00000044993, ENSSSAG00000071257, ENSSSAG00000068095, ENSSSAG00000045104, ENSSSAG00000073814, ENSSSAG00000005984, ENSSSAG00000043206, ENSSSAG00000050992, ENSSSAG00000053783, ENSSSAG00000055488, ENSSSAG00000096156, ENSSSAG00000073990, ENSSSAG00000070363, ENSSSAG00000073374, ENSSSAG00000026509, ENSSSAG00000001801</t>
  </si>
  <si>
    <t>ENSSSAG00000087757, ENSSSAG00000090804, ENSSSAG00000079094, ENSSSAG00000057788, ENSSSAG00000015667, ENSSSAG00000063388, ENSSSAG00000065440, ENSSSAG00000102037, ENSSSAG00000073424, ENSSSAG00000050701, ENSSSAG00000031718, ENSSSAG00000075326, ENSSSAG00000081935, ENSSSAG00000001575, ENSSSAG00000101472, ENSSSAG00000009933, ENSSSAG00000076897, ENSSSAG00000057156, ENSSSAG00000039308, ENSSSAG00000001130, ENSSSAG00000076906, ENSSSAG00000104497, ENSSSAG00000071257, ENSSSAG00000068095, ENSSSAG00000043206, ENSSSAG00000099686, ENSSSAG00000073990, ENSSSAG00000070363, ENSSSAG00000001801, ENSSSAG00000076388, ENSSSAG00000081195, ENSSSAG00000116020, ENSSSAG00000007302, ENSSSAG00000107509, ENSSSAG00000085395, ENSSSAG00000120525, ENSSSAG00000054808, ENSSSAG00000110636, ENSSSAG00000014280, ENSSSAG00000072637, ENSSSAG00000087185, ENSSSAG00000051579, ENSSSAG00000080426, ENSSSAG00000113622, ENSSSAG00000056385, ENSSSAG00000110593, ENSSSAG00000068824, ENSSSAG00000120618, ENSSSAG00000061272, ENSSSAG00000044156, ENSSSAG00000073814, ENSSSAG00000005984, ENSSSAG00000050992, ENSSSAG00000055488, ENSSSAG00000096156, ENSSSAG00000073374, ENSSSAG00000026509, ENSSSAG00000041805</t>
  </si>
  <si>
    <t>ENSSSAG00000077150, ENSSSAG00000062653, ENSSSAG00000015667, ENSSSAG00000063388, ENSSSAG00000065440, ENSSSAG00000102037, ENSSSAG00000001260, ENSSSAG00000073424, ENSSSAG00000041161, ENSSSAG00000108388, ENSSSAG00000081935, ENSSSAG00000001575, ENSSSAG00000000363, ENSSSAG00000101472, ENSSSAG00000009933, ENSSSAG00000078711, ENSSSAG00000057156, ENSSSAG00000039308, ENSSSAG00000081887, ENSSSAG00000001130, ENSSSAG00000104497, ENSSSAG00000044375, ENSSSAG00000045104, ENSSSAG00000043206, ENSSSAG00000047729, ENSSSAG00000052155, ENSSSAG00000111573, ENSSSAG00000075450, ENSSSAG00000078964, ENSSSAG00000094876, ENSSSAG00000099686, ENSSSAG00000070363, ENSSSAG00000001801, ENSSSAG00000076388, ENSSSAG00000081195, ENSSSAG00000009841, ENSSSAG00000107509, ENSSSAG00000085395, ENSSSAG00000046073, ENSSSAG00000044371, ENSSSAG00000120525, ENSSSAG00000110636, ENSSSAG00000014280, ENSSSAG00000072637, ENSSSAG00000087185, ENSSSAG00000086371, ENSSSAG00000047997, ENSSSAG00000015372, ENSSSAG00000074496, ENSSSAG00000005393, ENSSSAG00000110593, ENSSSAG00000068824, ENSSSAG00000103858, ENSSSAG00000007052, ENSSSAG00000046893, ENSSSAG00000051406, ENSSSAG00000044993, ENSSSAG00000054714, ENSSSAG00000073814, ENSSSAG00000053783, ENSSSAG00000055488, ENSSSAG00000096156, ENSSSAG00000026509, ENSSSAG00000041805</t>
  </si>
  <si>
    <t>ENSSSAG00000062653, ENSSSAG00000080127, ENSSSAG00000040880, ENSSSAG00000085395, ENSSSAG00000065440, ENSSSAG00000044371, ENSSSAG00000120525, ENSSSAG00000070332, ENSSSAG00000081935, ENSSSAG00000001575, ENSSSAG00000047997, ENSSSAG00000065291, ENSSSAG00000090269, ENSSSAG00000078530, ENSSSAG00000074496, ENSSSAG00000065634, ENSSSAG00000081887, ENSSSAG00000104497, ENSSSAG00000108635, ENSSSAG00000094770, ENSSSAG00000044993, ENSSSAG00000051406, ENSSSAG00000045104, ENSSSAG00000073814, ENSSSAG00000081329, ENSSSAG00000092192, ENSSSAG00000046715, ENSSSAG00000053783, ENSSSAG00000055488, ENSSSAG00000004899, ENSSSAG00000096156, ENSSSAG00000070363, ENSSSAG00000026509</t>
  </si>
  <si>
    <t>ENSSSAG00000063229, ENSSSAG00000041617, ENSSSAG00000081195, ENSSSAG00000076163, ENSSSAG00000063963, ENSSSAG00000015667, ENSSSAG00000038645, ENSSSAG00000107509, ENSSSAG00000063388, ENSSSAG00000085395, ENSSSAG00000065440, ENSSSAG00000102037, ENSSSAG00000069400, ENSSSAG00000120525, ENSSSAG00000070332, ENSSSAG00000110636, ENSSSAG00000073424, ENSSSAG00000014280, ENSSSAG00000072637, ENSSSAG00000081935, ENSSSAG00000001575, ENSSSAG00000087185, ENSSSAG00000101472, ENSSSAG00000009933, ENSSSAG00000078530, ENSSSAG00000065634, ENSSSAG00000110593, ENSSSAG00000104497, ENSSSAG00000108635, ENSSSAG00000045683, ENSSSAG00000073814, ENSSSAG00000046715, ENSSSAG00000043206, ENSSSAG00000076220, ENSSSAG00000055488, ENSSSAG00000096156, ENSSSAG00000099686, ENSSSAG00000070363, ENSSSAG00000026509, ENSSSAG00000001801, ENSSSAG00000076388, ENSSSAG00000041805</t>
  </si>
  <si>
    <t>ENSSSAG00000090804, ENSSSAG00000081195, ENSSSAG00000062653, ENSSSAG00000116020, ENSSSAG00000015667, ENSSSAG00000007302, ENSSSAG00000107509, ENSSSAG00000085395, ENSSSAG00000065440, ENSSSAG00000044371, ENSSSAG00000102037, ENSSSAG00000120525, ENSSSAG00000110636, ENSSSAG00000073424, ENSSSAG00000050701, ENSSSAG00000014280, ENSSSAG00000072637, ENSSSAG00000081935, ENSSSAG00000001575, ENSSSAG00000087185, ENSSSAG00000047997, ENSSSAG00000051579, ENSSSAG00000080426, ENSSSAG00000113622, ENSSSAG00000009933, ENSSSAG00000074496, ENSSSAG00000110593, ENSSSAG00000081887, ENSSSAG00000061272, ENSSSAG00000076906, ENSSSAG00000104497, ENSSSAG00000044156, ENSSSAG00000044993, ENSSSAG00000051406, ENSSSAG00000071257, ENSSSAG00000068095, ENSSSAG00000045104, ENSSSAG00000073814, ENSSSAG00000005984, ENSSSAG00000043206, ENSSSAG00000050992, ENSSSAG00000053783, ENSSSAG00000055488, ENSSSAG00000096156, ENSSSAG00000070363, ENSSSAG00000026509, ENSSSAG00000001801, ENSSSAG00000076388</t>
  </si>
  <si>
    <t>ENSSSAG00000081195, ENSSSAG00000015667, ENSSSAG00000107509, ENSSSAG00000063388, ENSSSAG00000102037, ENSSSAG00000110636, ENSSSAG00000073424, ENSSSAG00000014280, ENSSSAG00000072637, ENSSSAG00000087185, ENSSSAG00000101472, ENSSSAG00000000363, ENSSSAG00000009933, ENSSSAG00000005393, ENSSSAG00000057156, ENSSSAG00000039308, ENSSSAG00000110593, ENSSSAG00000068824, ENSSSAG00000001130, ENSSSAG00000007052, ENSSSAG00000043206, ENSSSAG00000111573, ENSSSAG00000075450, ENSSSAG00000094876, ENSSSAG00000099686, ENSSSAG00000001801, ENSSSAG00000076388, ENSSSAG00000041805</t>
  </si>
  <si>
    <t>ENSSSAG00000087757, ENSSSAG00000090804, ENSSSAG00000079094, ENSSSAG00000116020, ENSSSAG00000057788, ENSSSAG00000007302, ENSSSAG00000054808, ENSSSAG00000050701, ENSSSAG00000031718, ENSSSAG00000075326, ENSSSAG00000051579, ENSSSAG00000080426, ENSSSAG00000113622, ENSSSAG00000076897, ENSSSAG00000056385, ENSSSAG00000120618, ENSSSAG00000061272, ENSSSAG00000076906, ENSSSAG00000044156, ENSSSAG00000071257, ENSSSAG00000068095, ENSSSAG00000005984, ENSSSAG00000050992, ENSSSAG00000073990, ENSSSAG00000073374</t>
  </si>
  <si>
    <t>ENSSSAG00000056385, ENSSSAG00000087757, ENSSSAG00000079094, ENSSSAG00000057788, ENSSSAG00000061272, ENSSSAG00000120618, ENSSSAG00000068992, ENSSSAG00000054808, ENSSSAG00000007052, ENSSSAG00000031718, ENSSSAG00000075326, ENSSSAG00000044156, ENSSSAG00000071257, ENSSSAG00000068095, ENSSSAG00000078911, ENSSSAG00000078896, ENSSSAG00000005984, ENSSSAG00000050992, ENSSSAG00000094876, ENSSSAG00000076897, ENSSSAG00000076313, ENSSSAG00000073990, ENSSSAG00000073374</t>
  </si>
  <si>
    <t>ENSSSAG00000087757, ENSSSAG00000009422, ENSSSAG00000079094, ENSSSAG00000062653, ENSSSAG00000062874, ENSSSAG00000057788, ENSSSAG00000085395, ENSSSAG00000065440, ENSSSAG00000044371, ENSSSAG00000120525, ENSSSAG00000054808, ENSSSAG00000031718, ENSSSAG00000075326, ENSSSAG00000081935, ENSSSAG00000001575, ENSSSAG00000047997, ENSSSAG00000076897, ENSSSAG00000055476, ENSSSAG00000057099, ENSSSAG00000074496, ENSSSAG00000056385, ENSSSAG00000081887, ENSSSAG00000120618, ENSSSAG00000061272, ENSSSAG00000047398, ENSSSAG00000084013, ENSSSAG00000104497, ENSSSAG00000044156, ENSSSAG00000044993, ENSSSAG00000051406, ENSSSAG00000071257, ENSSSAG00000068095, ENSSSAG00000045104, ENSSSAG00000073814, ENSSSAG00000046715, ENSSSAG00000005984, ENSSSAG00000097482, ENSSSAG00000050992, ENSSSAG00000053783, ENSSSAG00000055488, ENSSSAG00000052394, ENSSSAG00000096156, ENSSSAG00000073990, ENSSSAG00000070363, ENSSSAG00000073374, ENSSSAG00000026509</t>
  </si>
  <si>
    <t>ENSSSAG00000090804, ENSSSAG00000081195, ENSSSAG00000116020, ENSSSAG00000015667, ENSSSAG00000110593, ENSSSAG00000007302, ENSSSAG00000076906, ENSSSAG00000102037, ENSSSAG00000007052, ENSSSAG00000110636, ENSSSAG00000073424, ENSSSAG00000050701, ENSSSAG00000014280, ENSSSAG00000072637, ENSSSAG00000087185, ENSSSAG00000051579, ENSSSAG00000080426, ENSSSAG00000043206, ENSSSAG00000113622, ENSSSAG00000009933, ENSSSAG00000094876, ENSSSAG00000001801</t>
  </si>
  <si>
    <t>ENSSSAG00000090804, ENSSSAG00000041617, ENSSSAG00000076163, ENSSSAG00000116020, ENSSSAG00000063963, ENSSSAG00000110593, ENSSSAG00000038645, ENSSSAG00000007302, ENSSSAG00000076906, ENSSSAG00000069400, ENSSSAG00000050701, ENSSSAG00000044993, ENSSSAG00000072637, ENSSSAG00000051579, ENSSSAG00000080426, ENSSSAG00000043206, ENSSSAG00000113622, ENSSSAG00000076220, ENSSSAG00000053783, ENSSSAG00000001801</t>
  </si>
  <si>
    <t>ENSSSAG00000077150, ENSSSAG00000110593, ENSSSAG00000009841, ENSSSAG00000103858, ENSSSAG00000046073, ENSSSAG00000001260, ENSSSAG00000073424, ENSSSAG00000044375, ENSSSAG00000072637, ENSSSAG00000108388, ENSSSAG00000086371, ENSSSAG00000054714, ENSSSAG00000043206, ENSSSAG00000047729, ENSSSAG00000078964, ENSSSAG00000078711, ENSSSAG00000015372, ENSSSAG00000001801</t>
  </si>
  <si>
    <t>ENSSSAG00000008233, ENSSSAG00000077020, ENSSSAG00000093827, ENSSSAG00000115585, ENSSSAG00000000691, ENSSSAG00000048063, ENSSSAG00000047230, ENSSSAG00000001987, ENSSSAG00000043385, ENSSSAG00000043463, ENSSSAG00000075429, ENSSSAG00000116109, ENSSSAG00000039035, ENSSSAG00000078764, ENSSSAG00000004368, ENSSSAG00000010140, ENSSSAG00000076022</t>
  </si>
  <si>
    <t>ENSSSAG00000090804, ENSSSAG00000116020, ENSSSAG00000110593, ENSSSAG00000007302, ENSSSAG00000076906, ENSSSAG00000041161, ENSSSAG00000050701, ENSSSAG00000046893, ENSSSAG00000072637, ENSSSAG00000086371, ENSSSAG00000054714, ENSSSAG00000051579, ENSSSAG00000080426, ENSSSAG00000043206, ENSSSAG00000052155, ENSSSAG00000047729, ENSSSAG00000113622, ENSSSAG00000001801</t>
  </si>
  <si>
    <t>ENSSSAG00000090804, ENSSSAG00000062653, ENSSSAG00000116020, ENSSSAG00000110593, ENSSSAG00000007302, ENSSSAG00000076906, ENSSSAG00000044371, ENSSSAG00000050701, ENSSSAG00000044993, ENSSSAG00000072637, ENSSSAG00000045104, ENSSSAG00000047997, ENSSSAG00000051579, ENSSSAG00000080426, ENSSSAG00000043206, ENSSSAG00000113622, ENSSSAG00000053783, ENSSSAG00000001801</t>
  </si>
  <si>
    <t>ENSSSAG00000069442, ENSSSAG00000048447, ENSSSAG00000047179, ENSSSAG00000054921, ENSSSAG00000046715, ENSSSAG00000046140</t>
  </si>
  <si>
    <t>ENSSSAG00000044156, ENSSSAG00000071257, ENSSSAG00000068095, ENSSSAG00000078911, ENSSSAG00000078896, ENSSSAG00000005984, ENSSSAG00000061272, ENSSSAG00000050992, ENSSSAG00000076313, ENSSSAG00000068992</t>
  </si>
  <si>
    <t>sasa04261:Adrenergic signaling in cardiomyocytes</t>
  </si>
  <si>
    <t>ENSSSAG00000110593, ENSSSAG00000085395, ENSSSAG00000065440, ENSSSAG00000120525, ENSSSAG00000007052, ENSSSAG00000104497, ENSSSAG00000073814, ENSSSAG00000072637, ENSSSAG00000081935, ENSSSAG00000001575, ENSSSAG00000043206, ENSSSAG00000055488, ENSSSAG00000096156, ENSSSAG00000070363, ENSSSAG00000026509, ENSSSAG00000001801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</si>
</sst>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2"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267010</xdr:colOff>
      <xdr:row>9</xdr:row>
      <xdr:rowOff>38100</xdr:rowOff>
    </xdr:from>
    <xdr:to>
      <xdr:col>16</xdr:col>
      <xdr:colOff>189069</xdr:colOff>
      <xdr:row>30</xdr:row>
      <xdr:rowOff>56344</xdr:rowOff>
    </xdr:to>
    <xdr:pic>
      <xdr:nvPicPr>
        <xdr:cNvPr id="2" name="Picture 1">
          <a:extLst>
            <a:ext uri="{FF2B5EF4-FFF2-40B4-BE49-F238E27FC236}">
              <a16:creationId xmlns:a16="http://schemas.microsoft.com/office/drawing/2014/main" id="{3AEB6754-81D9-348D-296C-F01E9E76FD17}"/>
            </a:ext>
          </a:extLst>
        </xdr:cNvPr>
        <xdr:cNvPicPr>
          <a:picLocks noChangeAspect="1"/>
        </xdr:cNvPicPr>
      </xdr:nvPicPr>
      <xdr:blipFill>
        <a:blip xmlns:r="http://schemas.openxmlformats.org/officeDocument/2006/relationships" r:embed="rId1"/>
        <a:stretch>
          <a:fillRect/>
        </a:stretch>
      </xdr:blipFill>
      <xdr:spPr>
        <a:xfrm>
          <a:off x="8525185" y="1666875"/>
          <a:ext cx="6780059" cy="38187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345963</xdr:colOff>
      <xdr:row>4</xdr:row>
      <xdr:rowOff>76200</xdr:rowOff>
    </xdr:from>
    <xdr:to>
      <xdr:col>28</xdr:col>
      <xdr:colOff>274786</xdr:colOff>
      <xdr:row>21</xdr:row>
      <xdr:rowOff>65861</xdr:rowOff>
    </xdr:to>
    <xdr:pic>
      <xdr:nvPicPr>
        <xdr:cNvPr id="2" name="Picture 1">
          <a:extLst>
            <a:ext uri="{FF2B5EF4-FFF2-40B4-BE49-F238E27FC236}">
              <a16:creationId xmlns:a16="http://schemas.microsoft.com/office/drawing/2014/main" id="{311321BD-61EE-63A6-CF91-FB44A82A0D01}"/>
            </a:ext>
          </a:extLst>
        </xdr:cNvPr>
        <xdr:cNvPicPr>
          <a:picLocks noChangeAspect="1"/>
        </xdr:cNvPicPr>
      </xdr:nvPicPr>
      <xdr:blipFill>
        <a:blip xmlns:r="http://schemas.openxmlformats.org/officeDocument/2006/relationships" r:embed="rId1"/>
        <a:stretch>
          <a:fillRect/>
        </a:stretch>
      </xdr:blipFill>
      <xdr:spPr>
        <a:xfrm>
          <a:off x="15528813" y="800100"/>
          <a:ext cx="5415224" cy="30662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5254746</xdr:colOff>
      <xdr:row>8</xdr:row>
      <xdr:rowOff>152400</xdr:rowOff>
    </xdr:from>
    <xdr:to>
      <xdr:col>16</xdr:col>
      <xdr:colOff>541499</xdr:colOff>
      <xdr:row>40</xdr:row>
      <xdr:rowOff>56344</xdr:rowOff>
    </xdr:to>
    <xdr:pic>
      <xdr:nvPicPr>
        <xdr:cNvPr id="2" name="Picture 1">
          <a:extLst>
            <a:ext uri="{FF2B5EF4-FFF2-40B4-BE49-F238E27FC236}">
              <a16:creationId xmlns:a16="http://schemas.microsoft.com/office/drawing/2014/main" id="{1F204B03-0E16-04D9-A8FA-E5F2E6A1AA44}"/>
            </a:ext>
          </a:extLst>
        </xdr:cNvPr>
        <xdr:cNvPicPr>
          <a:picLocks noChangeAspect="1"/>
        </xdr:cNvPicPr>
      </xdr:nvPicPr>
      <xdr:blipFill>
        <a:blip xmlns:r="http://schemas.openxmlformats.org/officeDocument/2006/relationships" r:embed="rId1"/>
        <a:stretch>
          <a:fillRect/>
        </a:stretch>
      </xdr:blipFill>
      <xdr:spPr>
        <a:xfrm>
          <a:off x="9750546" y="1600200"/>
          <a:ext cx="10069553" cy="56951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FD178-B28A-48E2-BE7A-CAE8BE5A1E7F}">
  <dimension ref="A2:T437"/>
  <sheetViews>
    <sheetView tabSelected="1" zoomScale="66" zoomScaleNormal="66" workbookViewId="0">
      <selection activeCell="AF22" sqref="AF22"/>
    </sheetView>
  </sheetViews>
  <sheetFormatPr defaultRowHeight="14.25" x14ac:dyDescent="0.2"/>
  <cols>
    <col min="4" max="4" width="11.5" bestFit="1" customWidth="1"/>
    <col min="18" max="18" width="11.5" bestFit="1" customWidth="1"/>
  </cols>
  <sheetData>
    <row r="2" spans="1:20" x14ac:dyDescent="0.2">
      <c r="A2" t="s">
        <v>1324</v>
      </c>
      <c r="K2" t="s">
        <v>1326</v>
      </c>
      <c r="L2" t="s">
        <v>1327</v>
      </c>
      <c r="M2" t="s">
        <v>1331</v>
      </c>
      <c r="O2" t="s">
        <v>1323</v>
      </c>
    </row>
    <row r="3" spans="1:20" x14ac:dyDescent="0.2">
      <c r="B3" t="s">
        <v>263</v>
      </c>
      <c r="C3" t="s">
        <v>0</v>
      </c>
      <c r="D3" t="s">
        <v>1</v>
      </c>
      <c r="E3" t="s">
        <v>2</v>
      </c>
      <c r="F3" t="s">
        <v>3</v>
      </c>
      <c r="J3" t="s">
        <v>1328</v>
      </c>
      <c r="K3">
        <v>129</v>
      </c>
      <c r="L3">
        <v>142</v>
      </c>
      <c r="M3">
        <f>SUM(K3:L3)</f>
        <v>271</v>
      </c>
      <c r="P3" t="s">
        <v>263</v>
      </c>
      <c r="Q3" t="s">
        <v>0</v>
      </c>
      <c r="R3" t="s">
        <v>1</v>
      </c>
      <c r="S3" t="s">
        <v>2</v>
      </c>
      <c r="T3" t="s">
        <v>3</v>
      </c>
    </row>
    <row r="4" spans="1:20" x14ac:dyDescent="0.2">
      <c r="B4" t="s">
        <v>264</v>
      </c>
      <c r="C4" t="s">
        <v>4</v>
      </c>
      <c r="D4">
        <v>106609995</v>
      </c>
      <c r="E4" t="s">
        <v>5</v>
      </c>
      <c r="F4" t="s">
        <v>6</v>
      </c>
      <c r="J4" t="s">
        <v>1329</v>
      </c>
      <c r="K4">
        <v>159</v>
      </c>
      <c r="L4">
        <v>137</v>
      </c>
      <c r="M4">
        <f t="shared" ref="M4:M5" si="0">SUM(K4:L4)</f>
        <v>296</v>
      </c>
      <c r="P4" t="s">
        <v>547</v>
      </c>
      <c r="Q4" t="s">
        <v>265</v>
      </c>
      <c r="R4">
        <v>106587014</v>
      </c>
      <c r="S4" t="s">
        <v>5</v>
      </c>
      <c r="T4" t="s">
        <v>266</v>
      </c>
    </row>
    <row r="5" spans="1:20" x14ac:dyDescent="0.2">
      <c r="B5" t="s">
        <v>264</v>
      </c>
      <c r="C5" t="s">
        <v>7</v>
      </c>
      <c r="D5">
        <v>106603053</v>
      </c>
      <c r="E5" t="s">
        <v>5</v>
      </c>
      <c r="F5" t="s">
        <v>8</v>
      </c>
      <c r="J5" t="s">
        <v>1330</v>
      </c>
      <c r="K5">
        <v>146</v>
      </c>
      <c r="L5">
        <v>121</v>
      </c>
      <c r="M5">
        <f t="shared" si="0"/>
        <v>267</v>
      </c>
      <c r="P5" t="s">
        <v>547</v>
      </c>
      <c r="Q5" t="s">
        <v>267</v>
      </c>
      <c r="R5">
        <v>106589264</v>
      </c>
      <c r="S5" t="s">
        <v>5</v>
      </c>
      <c r="T5" t="s">
        <v>268</v>
      </c>
    </row>
    <row r="6" spans="1:20" x14ac:dyDescent="0.2">
      <c r="B6" t="s">
        <v>264</v>
      </c>
      <c r="C6" t="s">
        <v>9</v>
      </c>
      <c r="D6">
        <v>106579053</v>
      </c>
      <c r="E6" t="s">
        <v>5</v>
      </c>
      <c r="F6" t="s">
        <v>10</v>
      </c>
      <c r="P6" t="s">
        <v>547</v>
      </c>
      <c r="Q6" t="s">
        <v>269</v>
      </c>
      <c r="R6">
        <v>106560529</v>
      </c>
      <c r="S6" t="s">
        <v>5</v>
      </c>
      <c r="T6" t="s">
        <v>270</v>
      </c>
    </row>
    <row r="7" spans="1:20" x14ac:dyDescent="0.2">
      <c r="B7" t="s">
        <v>264</v>
      </c>
      <c r="C7" t="s">
        <v>11</v>
      </c>
      <c r="D7">
        <v>106582378</v>
      </c>
      <c r="E7" t="s">
        <v>5</v>
      </c>
      <c r="F7" t="s">
        <v>12</v>
      </c>
      <c r="P7" t="s">
        <v>547</v>
      </c>
      <c r="Q7" t="s">
        <v>271</v>
      </c>
      <c r="R7">
        <v>106592818</v>
      </c>
      <c r="S7" t="s">
        <v>5</v>
      </c>
      <c r="T7" t="s">
        <v>272</v>
      </c>
    </row>
    <row r="8" spans="1:20" x14ac:dyDescent="0.2">
      <c r="B8" t="s">
        <v>264</v>
      </c>
      <c r="C8" t="s">
        <v>13</v>
      </c>
      <c r="D8">
        <v>106567382</v>
      </c>
      <c r="E8" t="s">
        <v>5</v>
      </c>
      <c r="F8" t="s">
        <v>14</v>
      </c>
      <c r="P8" t="s">
        <v>547</v>
      </c>
      <c r="Q8" t="s">
        <v>273</v>
      </c>
      <c r="R8">
        <v>106591125</v>
      </c>
      <c r="S8" t="s">
        <v>5</v>
      </c>
      <c r="T8" t="s">
        <v>274</v>
      </c>
    </row>
    <row r="9" spans="1:20" x14ac:dyDescent="0.2">
      <c r="B9" t="s">
        <v>264</v>
      </c>
      <c r="C9" t="s">
        <v>15</v>
      </c>
      <c r="D9">
        <v>106600510</v>
      </c>
      <c r="E9" t="s">
        <v>5</v>
      </c>
      <c r="F9" t="s">
        <v>16</v>
      </c>
      <c r="P9" t="s">
        <v>547</v>
      </c>
      <c r="Q9" t="s">
        <v>275</v>
      </c>
      <c r="R9">
        <v>106577633</v>
      </c>
      <c r="S9" t="s">
        <v>5</v>
      </c>
      <c r="T9" t="s">
        <v>276</v>
      </c>
    </row>
    <row r="10" spans="1:20" x14ac:dyDescent="0.2">
      <c r="B10" t="s">
        <v>264</v>
      </c>
      <c r="C10" t="s">
        <v>17</v>
      </c>
      <c r="D10">
        <v>106582798</v>
      </c>
      <c r="E10" t="s">
        <v>5</v>
      </c>
      <c r="F10" t="s">
        <v>18</v>
      </c>
      <c r="P10" t="s">
        <v>547</v>
      </c>
      <c r="Q10" t="s">
        <v>277</v>
      </c>
      <c r="R10">
        <v>106573123</v>
      </c>
      <c r="S10" t="s">
        <v>5</v>
      </c>
      <c r="T10" t="s">
        <v>278</v>
      </c>
    </row>
    <row r="11" spans="1:20" x14ac:dyDescent="0.2">
      <c r="B11" t="s">
        <v>264</v>
      </c>
      <c r="C11" t="s">
        <v>19</v>
      </c>
      <c r="D11">
        <v>106569403</v>
      </c>
      <c r="E11" t="s">
        <v>5</v>
      </c>
      <c r="F11" t="s">
        <v>20</v>
      </c>
      <c r="P11" t="s">
        <v>547</v>
      </c>
      <c r="Q11" t="s">
        <v>279</v>
      </c>
      <c r="R11">
        <v>106603065</v>
      </c>
      <c r="S11" t="s">
        <v>5</v>
      </c>
      <c r="T11" t="s">
        <v>280</v>
      </c>
    </row>
    <row r="12" spans="1:20" x14ac:dyDescent="0.2">
      <c r="B12" t="s">
        <v>264</v>
      </c>
      <c r="C12" t="s">
        <v>21</v>
      </c>
      <c r="D12">
        <v>106584495</v>
      </c>
      <c r="E12" t="s">
        <v>5</v>
      </c>
      <c r="F12" t="s">
        <v>22</v>
      </c>
      <c r="P12" t="s">
        <v>547</v>
      </c>
      <c r="Q12" t="s">
        <v>281</v>
      </c>
      <c r="R12">
        <v>106589390</v>
      </c>
      <c r="S12" t="s">
        <v>5</v>
      </c>
      <c r="T12" t="s">
        <v>282</v>
      </c>
    </row>
    <row r="13" spans="1:20" x14ac:dyDescent="0.2">
      <c r="B13" t="s">
        <v>264</v>
      </c>
      <c r="C13" t="s">
        <v>23</v>
      </c>
      <c r="D13">
        <v>106567563</v>
      </c>
      <c r="E13" t="s">
        <v>5</v>
      </c>
      <c r="F13" t="s">
        <v>24</v>
      </c>
      <c r="P13" t="s">
        <v>547</v>
      </c>
      <c r="Q13" t="s">
        <v>283</v>
      </c>
      <c r="R13">
        <v>106584829</v>
      </c>
      <c r="S13" t="s">
        <v>5</v>
      </c>
      <c r="T13" t="s">
        <v>284</v>
      </c>
    </row>
    <row r="14" spans="1:20" x14ac:dyDescent="0.2">
      <c r="B14" t="s">
        <v>264</v>
      </c>
      <c r="C14" t="s">
        <v>25</v>
      </c>
      <c r="D14">
        <v>106563593</v>
      </c>
      <c r="E14" t="s">
        <v>5</v>
      </c>
      <c r="F14" t="s">
        <v>26</v>
      </c>
      <c r="P14" t="s">
        <v>547</v>
      </c>
      <c r="Q14" t="s">
        <v>285</v>
      </c>
      <c r="R14">
        <v>106572261</v>
      </c>
      <c r="S14" t="s">
        <v>5</v>
      </c>
      <c r="T14" t="s">
        <v>286</v>
      </c>
    </row>
    <row r="15" spans="1:20" x14ac:dyDescent="0.2">
      <c r="B15" t="s">
        <v>264</v>
      </c>
      <c r="C15" t="s">
        <v>27</v>
      </c>
      <c r="D15">
        <v>106561370</v>
      </c>
      <c r="E15" t="s">
        <v>5</v>
      </c>
      <c r="F15" t="s">
        <v>28</v>
      </c>
      <c r="P15" t="s">
        <v>547</v>
      </c>
      <c r="Q15" t="s">
        <v>287</v>
      </c>
      <c r="R15">
        <v>106599874</v>
      </c>
      <c r="S15" t="s">
        <v>5</v>
      </c>
      <c r="T15" t="s">
        <v>288</v>
      </c>
    </row>
    <row r="16" spans="1:20" x14ac:dyDescent="0.2">
      <c r="B16" t="s">
        <v>264</v>
      </c>
      <c r="C16" t="s">
        <v>29</v>
      </c>
      <c r="D16">
        <v>106575172</v>
      </c>
      <c r="E16" t="s">
        <v>5</v>
      </c>
      <c r="F16" t="s">
        <v>30</v>
      </c>
      <c r="P16" t="s">
        <v>547</v>
      </c>
      <c r="Q16" t="s">
        <v>289</v>
      </c>
      <c r="R16">
        <v>106578137</v>
      </c>
      <c r="S16" t="s">
        <v>5</v>
      </c>
      <c r="T16" t="s">
        <v>290</v>
      </c>
    </row>
    <row r="17" spans="2:20" x14ac:dyDescent="0.2">
      <c r="B17" t="s">
        <v>264</v>
      </c>
      <c r="C17" t="s">
        <v>31</v>
      </c>
      <c r="D17">
        <v>106605767</v>
      </c>
      <c r="E17" t="s">
        <v>5</v>
      </c>
      <c r="F17" t="s">
        <v>32</v>
      </c>
      <c r="P17" t="s">
        <v>547</v>
      </c>
      <c r="Q17" t="s">
        <v>291</v>
      </c>
      <c r="R17">
        <v>106592479</v>
      </c>
      <c r="S17" t="s">
        <v>5</v>
      </c>
      <c r="T17" t="s">
        <v>292</v>
      </c>
    </row>
    <row r="18" spans="2:20" x14ac:dyDescent="0.2">
      <c r="B18" t="s">
        <v>264</v>
      </c>
      <c r="C18" t="s">
        <v>33</v>
      </c>
      <c r="D18">
        <v>106566970</v>
      </c>
      <c r="E18" t="s">
        <v>5</v>
      </c>
      <c r="F18" t="s">
        <v>34</v>
      </c>
      <c r="P18" t="s">
        <v>547</v>
      </c>
      <c r="Q18" t="s">
        <v>293</v>
      </c>
      <c r="R18">
        <v>100194780</v>
      </c>
      <c r="S18" t="s">
        <v>5</v>
      </c>
      <c r="T18" t="s">
        <v>294</v>
      </c>
    </row>
    <row r="19" spans="2:20" x14ac:dyDescent="0.2">
      <c r="B19" t="s">
        <v>264</v>
      </c>
      <c r="C19" t="s">
        <v>35</v>
      </c>
      <c r="D19">
        <v>106599063</v>
      </c>
      <c r="E19" t="s">
        <v>5</v>
      </c>
      <c r="F19" t="s">
        <v>36</v>
      </c>
      <c r="P19" t="s">
        <v>547</v>
      </c>
      <c r="Q19" t="s">
        <v>295</v>
      </c>
      <c r="R19">
        <v>106563584</v>
      </c>
      <c r="S19" t="s">
        <v>5</v>
      </c>
      <c r="T19" t="s">
        <v>296</v>
      </c>
    </row>
    <row r="20" spans="2:20" x14ac:dyDescent="0.2">
      <c r="B20" t="s">
        <v>264</v>
      </c>
      <c r="C20" t="s">
        <v>37</v>
      </c>
      <c r="D20">
        <v>106590060</v>
      </c>
      <c r="E20" t="s">
        <v>5</v>
      </c>
      <c r="F20" t="s">
        <v>38</v>
      </c>
      <c r="P20" t="s">
        <v>547</v>
      </c>
      <c r="Q20" t="s">
        <v>297</v>
      </c>
      <c r="R20">
        <v>106599005</v>
      </c>
      <c r="S20" t="s">
        <v>5</v>
      </c>
      <c r="T20" t="s">
        <v>298</v>
      </c>
    </row>
    <row r="21" spans="2:20" x14ac:dyDescent="0.2">
      <c r="B21" t="s">
        <v>264</v>
      </c>
      <c r="C21" t="s">
        <v>39</v>
      </c>
      <c r="D21">
        <v>106586337</v>
      </c>
      <c r="E21" t="s">
        <v>5</v>
      </c>
      <c r="F21" t="s">
        <v>40</v>
      </c>
      <c r="P21" t="s">
        <v>547</v>
      </c>
      <c r="Q21" t="s">
        <v>299</v>
      </c>
      <c r="R21">
        <v>106574304</v>
      </c>
      <c r="S21" t="s">
        <v>5</v>
      </c>
      <c r="T21" t="s">
        <v>300</v>
      </c>
    </row>
    <row r="22" spans="2:20" x14ac:dyDescent="0.2">
      <c r="B22" t="s">
        <v>264</v>
      </c>
      <c r="C22" t="s">
        <v>41</v>
      </c>
      <c r="D22">
        <v>106609475</v>
      </c>
      <c r="E22" t="s">
        <v>5</v>
      </c>
      <c r="F22" t="s">
        <v>42</v>
      </c>
      <c r="P22" t="s">
        <v>547</v>
      </c>
      <c r="Q22" t="s">
        <v>301</v>
      </c>
      <c r="R22">
        <v>106605415</v>
      </c>
      <c r="S22" t="s">
        <v>5</v>
      </c>
      <c r="T22" t="s">
        <v>302</v>
      </c>
    </row>
    <row r="23" spans="2:20" x14ac:dyDescent="0.2">
      <c r="B23" t="s">
        <v>264</v>
      </c>
      <c r="C23" t="s">
        <v>43</v>
      </c>
      <c r="D23">
        <v>106580426</v>
      </c>
      <c r="E23" t="s">
        <v>5</v>
      </c>
      <c r="F23" t="s">
        <v>44</v>
      </c>
      <c r="P23" t="s">
        <v>547</v>
      </c>
      <c r="Q23" t="s">
        <v>303</v>
      </c>
      <c r="R23">
        <v>106609140</v>
      </c>
      <c r="S23" t="s">
        <v>5</v>
      </c>
      <c r="T23" t="s">
        <v>304</v>
      </c>
    </row>
    <row r="24" spans="2:20" x14ac:dyDescent="0.2">
      <c r="B24" t="s">
        <v>264</v>
      </c>
      <c r="C24" t="s">
        <v>45</v>
      </c>
      <c r="D24">
        <v>106599971</v>
      </c>
      <c r="E24" t="s">
        <v>5</v>
      </c>
      <c r="F24" t="s">
        <v>46</v>
      </c>
      <c r="P24" t="s">
        <v>547</v>
      </c>
      <c r="Q24" t="s">
        <v>303</v>
      </c>
      <c r="R24">
        <v>106609141</v>
      </c>
      <c r="S24" t="s">
        <v>5</v>
      </c>
      <c r="T24" t="s">
        <v>305</v>
      </c>
    </row>
    <row r="25" spans="2:20" x14ac:dyDescent="0.2">
      <c r="B25" t="s">
        <v>264</v>
      </c>
      <c r="C25" t="s">
        <v>47</v>
      </c>
      <c r="D25">
        <v>106609471</v>
      </c>
      <c r="E25" t="s">
        <v>5</v>
      </c>
      <c r="F25" t="s">
        <v>48</v>
      </c>
      <c r="P25" t="s">
        <v>547</v>
      </c>
      <c r="Q25" t="s">
        <v>306</v>
      </c>
      <c r="R25">
        <v>106560701</v>
      </c>
      <c r="S25" t="s">
        <v>5</v>
      </c>
      <c r="T25" t="s">
        <v>307</v>
      </c>
    </row>
    <row r="26" spans="2:20" x14ac:dyDescent="0.2">
      <c r="B26" t="s">
        <v>264</v>
      </c>
      <c r="C26" t="s">
        <v>49</v>
      </c>
      <c r="D26">
        <v>106563501</v>
      </c>
      <c r="E26" t="s">
        <v>5</v>
      </c>
      <c r="F26" t="s">
        <v>50</v>
      </c>
      <c r="P26" t="s">
        <v>547</v>
      </c>
      <c r="Q26" t="s">
        <v>308</v>
      </c>
      <c r="R26">
        <v>106581407</v>
      </c>
      <c r="S26" t="s">
        <v>5</v>
      </c>
      <c r="T26" t="s">
        <v>309</v>
      </c>
    </row>
    <row r="27" spans="2:20" x14ac:dyDescent="0.2">
      <c r="B27" t="s">
        <v>264</v>
      </c>
      <c r="C27" t="s">
        <v>51</v>
      </c>
      <c r="D27">
        <v>106564671</v>
      </c>
      <c r="E27" t="s">
        <v>5</v>
      </c>
      <c r="F27" t="s">
        <v>52</v>
      </c>
      <c r="P27" t="s">
        <v>547</v>
      </c>
      <c r="Q27" t="s">
        <v>310</v>
      </c>
      <c r="R27">
        <v>106579140</v>
      </c>
      <c r="S27" t="s">
        <v>5</v>
      </c>
      <c r="T27" t="s">
        <v>311</v>
      </c>
    </row>
    <row r="28" spans="2:20" x14ac:dyDescent="0.2">
      <c r="B28" t="s">
        <v>264</v>
      </c>
      <c r="C28" t="s">
        <v>53</v>
      </c>
      <c r="D28">
        <v>106570952</v>
      </c>
      <c r="E28" t="s">
        <v>5</v>
      </c>
      <c r="F28" t="s">
        <v>54</v>
      </c>
      <c r="P28" t="s">
        <v>547</v>
      </c>
      <c r="Q28" t="s">
        <v>312</v>
      </c>
      <c r="R28">
        <v>106584773</v>
      </c>
      <c r="S28" t="s">
        <v>5</v>
      </c>
      <c r="T28" t="s">
        <v>313</v>
      </c>
    </row>
    <row r="29" spans="2:20" x14ac:dyDescent="0.2">
      <c r="B29" t="s">
        <v>264</v>
      </c>
      <c r="C29" t="s">
        <v>55</v>
      </c>
      <c r="D29">
        <v>106587111</v>
      </c>
      <c r="E29" t="s">
        <v>5</v>
      </c>
      <c r="F29" t="s">
        <v>56</v>
      </c>
      <c r="P29" t="s">
        <v>547</v>
      </c>
      <c r="Q29" t="s">
        <v>314</v>
      </c>
      <c r="R29">
        <v>106595801</v>
      </c>
      <c r="S29" t="s">
        <v>5</v>
      </c>
      <c r="T29" t="s">
        <v>315</v>
      </c>
    </row>
    <row r="30" spans="2:20" x14ac:dyDescent="0.2">
      <c r="B30" t="s">
        <v>264</v>
      </c>
      <c r="C30" t="s">
        <v>57</v>
      </c>
      <c r="D30">
        <v>106566325</v>
      </c>
      <c r="E30" t="s">
        <v>5</v>
      </c>
      <c r="F30" t="s">
        <v>58</v>
      </c>
      <c r="P30" t="s">
        <v>547</v>
      </c>
      <c r="Q30" t="s">
        <v>316</v>
      </c>
      <c r="R30">
        <v>106577395</v>
      </c>
      <c r="S30" t="s">
        <v>5</v>
      </c>
      <c r="T30" t="s">
        <v>317</v>
      </c>
    </row>
    <row r="31" spans="2:20" x14ac:dyDescent="0.2">
      <c r="B31" t="s">
        <v>264</v>
      </c>
      <c r="C31" t="s">
        <v>59</v>
      </c>
      <c r="D31">
        <v>106581356</v>
      </c>
      <c r="E31" t="s">
        <v>5</v>
      </c>
      <c r="F31" t="s">
        <v>60</v>
      </c>
      <c r="P31" t="s">
        <v>547</v>
      </c>
      <c r="Q31" t="s">
        <v>318</v>
      </c>
      <c r="R31">
        <v>106607890</v>
      </c>
      <c r="S31" t="s">
        <v>5</v>
      </c>
      <c r="T31" t="s">
        <v>319</v>
      </c>
    </row>
    <row r="32" spans="2:20" x14ac:dyDescent="0.2">
      <c r="B32" t="s">
        <v>264</v>
      </c>
      <c r="C32" t="s">
        <v>61</v>
      </c>
      <c r="D32">
        <v>106586152</v>
      </c>
      <c r="E32" t="s">
        <v>5</v>
      </c>
      <c r="F32" t="s">
        <v>62</v>
      </c>
      <c r="P32" t="s">
        <v>547</v>
      </c>
      <c r="Q32" t="s">
        <v>320</v>
      </c>
      <c r="R32">
        <v>106598808</v>
      </c>
      <c r="S32" t="s">
        <v>5</v>
      </c>
      <c r="T32" t="s">
        <v>321</v>
      </c>
    </row>
    <row r="33" spans="2:20" x14ac:dyDescent="0.2">
      <c r="B33" t="s">
        <v>264</v>
      </c>
      <c r="C33" t="s">
        <v>63</v>
      </c>
      <c r="D33">
        <v>106582886</v>
      </c>
      <c r="E33" t="s">
        <v>5</v>
      </c>
      <c r="F33" t="s">
        <v>64</v>
      </c>
      <c r="P33" t="s">
        <v>547</v>
      </c>
      <c r="Q33" t="s">
        <v>322</v>
      </c>
      <c r="R33">
        <v>106578250</v>
      </c>
      <c r="S33" t="s">
        <v>5</v>
      </c>
      <c r="T33" t="s">
        <v>323</v>
      </c>
    </row>
    <row r="34" spans="2:20" x14ac:dyDescent="0.2">
      <c r="B34" t="s">
        <v>264</v>
      </c>
      <c r="C34" t="s">
        <v>65</v>
      </c>
      <c r="D34">
        <v>106608773</v>
      </c>
      <c r="E34" t="s">
        <v>5</v>
      </c>
      <c r="F34" t="s">
        <v>66</v>
      </c>
      <c r="P34" t="s">
        <v>547</v>
      </c>
      <c r="Q34" t="s">
        <v>324</v>
      </c>
      <c r="R34">
        <v>100380849</v>
      </c>
      <c r="S34" t="s">
        <v>5</v>
      </c>
      <c r="T34" t="s">
        <v>325</v>
      </c>
    </row>
    <row r="35" spans="2:20" x14ac:dyDescent="0.2">
      <c r="B35" t="s">
        <v>264</v>
      </c>
      <c r="C35" t="s">
        <v>67</v>
      </c>
      <c r="D35">
        <v>106605261</v>
      </c>
      <c r="E35" t="s">
        <v>5</v>
      </c>
      <c r="F35" t="s">
        <v>68</v>
      </c>
      <c r="P35" t="s">
        <v>547</v>
      </c>
      <c r="Q35" t="s">
        <v>326</v>
      </c>
      <c r="R35">
        <v>100196161</v>
      </c>
      <c r="S35" t="s">
        <v>5</v>
      </c>
      <c r="T35" t="s">
        <v>327</v>
      </c>
    </row>
    <row r="36" spans="2:20" x14ac:dyDescent="0.2">
      <c r="B36" t="s">
        <v>264</v>
      </c>
      <c r="C36" t="s">
        <v>69</v>
      </c>
      <c r="D36">
        <v>106563054</v>
      </c>
      <c r="E36" t="s">
        <v>5</v>
      </c>
      <c r="F36" t="s">
        <v>70</v>
      </c>
      <c r="P36" t="s">
        <v>547</v>
      </c>
      <c r="Q36" t="s">
        <v>328</v>
      </c>
      <c r="R36">
        <v>106583950</v>
      </c>
      <c r="S36" t="s">
        <v>5</v>
      </c>
      <c r="T36" t="s">
        <v>329</v>
      </c>
    </row>
    <row r="37" spans="2:20" x14ac:dyDescent="0.2">
      <c r="B37" t="s">
        <v>264</v>
      </c>
      <c r="C37" t="s">
        <v>71</v>
      </c>
      <c r="D37">
        <v>106610734</v>
      </c>
      <c r="E37" t="s">
        <v>5</v>
      </c>
      <c r="F37" t="s">
        <v>72</v>
      </c>
      <c r="P37" t="s">
        <v>547</v>
      </c>
      <c r="Q37" t="s">
        <v>330</v>
      </c>
      <c r="R37">
        <v>106579471</v>
      </c>
      <c r="S37" t="s">
        <v>5</v>
      </c>
      <c r="T37" t="s">
        <v>331</v>
      </c>
    </row>
    <row r="38" spans="2:20" x14ac:dyDescent="0.2">
      <c r="B38" t="s">
        <v>264</v>
      </c>
      <c r="C38" t="s">
        <v>73</v>
      </c>
      <c r="D38">
        <v>106590143</v>
      </c>
      <c r="E38" t="s">
        <v>5</v>
      </c>
      <c r="F38" t="s">
        <v>74</v>
      </c>
      <c r="P38" t="s">
        <v>547</v>
      </c>
      <c r="Q38" t="s">
        <v>332</v>
      </c>
      <c r="R38">
        <v>100196724</v>
      </c>
      <c r="S38" t="s">
        <v>5</v>
      </c>
      <c r="T38" t="s">
        <v>333</v>
      </c>
    </row>
    <row r="39" spans="2:20" x14ac:dyDescent="0.2">
      <c r="B39" t="s">
        <v>264</v>
      </c>
      <c r="C39" t="s">
        <v>75</v>
      </c>
      <c r="D39">
        <v>106603626</v>
      </c>
      <c r="E39" t="s">
        <v>5</v>
      </c>
      <c r="F39" t="s">
        <v>76</v>
      </c>
      <c r="P39" t="s">
        <v>547</v>
      </c>
      <c r="Q39" t="s">
        <v>334</v>
      </c>
      <c r="R39">
        <v>106594520</v>
      </c>
      <c r="S39" t="s">
        <v>5</v>
      </c>
      <c r="T39" t="s">
        <v>335</v>
      </c>
    </row>
    <row r="40" spans="2:20" x14ac:dyDescent="0.2">
      <c r="B40" t="s">
        <v>264</v>
      </c>
      <c r="C40" t="s">
        <v>77</v>
      </c>
      <c r="D40">
        <v>106600405</v>
      </c>
      <c r="E40" t="s">
        <v>5</v>
      </c>
      <c r="F40" t="s">
        <v>78</v>
      </c>
      <c r="P40" t="s">
        <v>547</v>
      </c>
      <c r="Q40" t="s">
        <v>336</v>
      </c>
      <c r="R40">
        <v>106571436</v>
      </c>
      <c r="S40" t="s">
        <v>5</v>
      </c>
      <c r="T40" t="s">
        <v>337</v>
      </c>
    </row>
    <row r="41" spans="2:20" x14ac:dyDescent="0.2">
      <c r="B41" t="s">
        <v>264</v>
      </c>
      <c r="C41" t="s">
        <v>79</v>
      </c>
      <c r="D41">
        <v>106567520</v>
      </c>
      <c r="E41" t="s">
        <v>5</v>
      </c>
      <c r="F41" t="s">
        <v>80</v>
      </c>
      <c r="P41" t="s">
        <v>547</v>
      </c>
      <c r="Q41" t="s">
        <v>338</v>
      </c>
      <c r="R41">
        <v>106577211</v>
      </c>
      <c r="S41" t="s">
        <v>5</v>
      </c>
      <c r="T41" t="s">
        <v>339</v>
      </c>
    </row>
    <row r="42" spans="2:20" x14ac:dyDescent="0.2">
      <c r="B42" t="s">
        <v>264</v>
      </c>
      <c r="C42" t="s">
        <v>81</v>
      </c>
      <c r="D42">
        <v>106583123</v>
      </c>
      <c r="E42" t="s">
        <v>5</v>
      </c>
      <c r="F42" t="s">
        <v>82</v>
      </c>
      <c r="P42" t="s">
        <v>547</v>
      </c>
      <c r="Q42" t="s">
        <v>340</v>
      </c>
      <c r="R42">
        <v>106596806</v>
      </c>
      <c r="S42" t="s">
        <v>5</v>
      </c>
      <c r="T42" t="s">
        <v>341</v>
      </c>
    </row>
    <row r="43" spans="2:20" x14ac:dyDescent="0.2">
      <c r="B43" t="s">
        <v>264</v>
      </c>
      <c r="C43" t="s">
        <v>83</v>
      </c>
      <c r="D43">
        <v>106574245</v>
      </c>
      <c r="E43" t="s">
        <v>5</v>
      </c>
      <c r="F43" t="s">
        <v>84</v>
      </c>
      <c r="P43" t="s">
        <v>547</v>
      </c>
      <c r="Q43" t="s">
        <v>342</v>
      </c>
      <c r="R43">
        <v>106577251</v>
      </c>
      <c r="S43" t="s">
        <v>5</v>
      </c>
      <c r="T43" t="s">
        <v>343</v>
      </c>
    </row>
    <row r="44" spans="2:20" x14ac:dyDescent="0.2">
      <c r="B44" t="s">
        <v>264</v>
      </c>
      <c r="C44" t="s">
        <v>85</v>
      </c>
      <c r="D44">
        <v>106606872</v>
      </c>
      <c r="E44" t="s">
        <v>5</v>
      </c>
      <c r="F44" t="s">
        <v>86</v>
      </c>
      <c r="P44" t="s">
        <v>547</v>
      </c>
      <c r="Q44" t="s">
        <v>344</v>
      </c>
      <c r="R44">
        <v>106573361</v>
      </c>
      <c r="S44" t="s">
        <v>5</v>
      </c>
      <c r="T44" t="s">
        <v>345</v>
      </c>
    </row>
    <row r="45" spans="2:20" x14ac:dyDescent="0.2">
      <c r="B45" t="s">
        <v>264</v>
      </c>
      <c r="C45" t="s">
        <v>87</v>
      </c>
      <c r="D45">
        <v>106613169</v>
      </c>
      <c r="E45" t="s">
        <v>5</v>
      </c>
      <c r="F45" t="s">
        <v>88</v>
      </c>
      <c r="P45" t="s">
        <v>547</v>
      </c>
      <c r="Q45" t="s">
        <v>346</v>
      </c>
      <c r="R45">
        <v>106578589</v>
      </c>
      <c r="S45" t="s">
        <v>5</v>
      </c>
      <c r="T45" t="s">
        <v>347</v>
      </c>
    </row>
    <row r="46" spans="2:20" x14ac:dyDescent="0.2">
      <c r="B46" t="s">
        <v>264</v>
      </c>
      <c r="C46" t="s">
        <v>89</v>
      </c>
      <c r="D46">
        <v>106612640</v>
      </c>
      <c r="E46" t="s">
        <v>5</v>
      </c>
      <c r="F46" t="s">
        <v>90</v>
      </c>
      <c r="P46" t="s">
        <v>547</v>
      </c>
      <c r="Q46" t="s">
        <v>348</v>
      </c>
      <c r="R46">
        <v>106609967</v>
      </c>
      <c r="S46" t="s">
        <v>5</v>
      </c>
      <c r="T46" t="s">
        <v>349</v>
      </c>
    </row>
    <row r="47" spans="2:20" x14ac:dyDescent="0.2">
      <c r="B47" t="s">
        <v>264</v>
      </c>
      <c r="C47" t="s">
        <v>91</v>
      </c>
      <c r="D47">
        <v>106607369</v>
      </c>
      <c r="E47" t="s">
        <v>5</v>
      </c>
      <c r="F47" t="s">
        <v>92</v>
      </c>
      <c r="P47" t="s">
        <v>547</v>
      </c>
      <c r="Q47" t="s">
        <v>350</v>
      </c>
      <c r="R47">
        <v>106572931</v>
      </c>
      <c r="S47" t="s">
        <v>5</v>
      </c>
      <c r="T47" t="s">
        <v>351</v>
      </c>
    </row>
    <row r="48" spans="2:20" x14ac:dyDescent="0.2">
      <c r="B48" t="s">
        <v>264</v>
      </c>
      <c r="C48" t="s">
        <v>93</v>
      </c>
      <c r="D48">
        <v>106590380</v>
      </c>
      <c r="E48" t="s">
        <v>5</v>
      </c>
      <c r="F48" t="s">
        <v>94</v>
      </c>
      <c r="P48" t="s">
        <v>547</v>
      </c>
      <c r="Q48" t="s">
        <v>352</v>
      </c>
      <c r="R48">
        <v>106592002</v>
      </c>
      <c r="S48" t="s">
        <v>5</v>
      </c>
      <c r="T48" t="s">
        <v>353</v>
      </c>
    </row>
    <row r="49" spans="2:20" x14ac:dyDescent="0.2">
      <c r="B49" t="s">
        <v>264</v>
      </c>
      <c r="C49" t="s">
        <v>95</v>
      </c>
      <c r="D49">
        <v>100136392</v>
      </c>
      <c r="E49" t="s">
        <v>5</v>
      </c>
      <c r="F49" t="s">
        <v>96</v>
      </c>
      <c r="P49" t="s">
        <v>547</v>
      </c>
      <c r="Q49" t="s">
        <v>354</v>
      </c>
      <c r="R49">
        <v>106565454</v>
      </c>
      <c r="S49" t="s">
        <v>5</v>
      </c>
      <c r="T49" t="s">
        <v>355</v>
      </c>
    </row>
    <row r="50" spans="2:20" x14ac:dyDescent="0.2">
      <c r="B50" t="s">
        <v>264</v>
      </c>
      <c r="C50" t="s">
        <v>97</v>
      </c>
      <c r="D50">
        <v>106581221</v>
      </c>
      <c r="E50" t="s">
        <v>5</v>
      </c>
      <c r="F50" t="s">
        <v>98</v>
      </c>
      <c r="P50" t="s">
        <v>547</v>
      </c>
      <c r="Q50" t="s">
        <v>356</v>
      </c>
      <c r="R50">
        <v>106602694</v>
      </c>
      <c r="S50" t="s">
        <v>5</v>
      </c>
      <c r="T50" t="s">
        <v>357</v>
      </c>
    </row>
    <row r="51" spans="2:20" x14ac:dyDescent="0.2">
      <c r="B51" t="s">
        <v>264</v>
      </c>
      <c r="C51" t="s">
        <v>99</v>
      </c>
      <c r="D51">
        <v>106584208</v>
      </c>
      <c r="E51" t="s">
        <v>5</v>
      </c>
      <c r="F51" t="s">
        <v>100</v>
      </c>
      <c r="P51" t="s">
        <v>547</v>
      </c>
      <c r="Q51" t="s">
        <v>358</v>
      </c>
      <c r="R51">
        <v>100380484</v>
      </c>
      <c r="S51" t="s">
        <v>5</v>
      </c>
      <c r="T51" t="s">
        <v>359</v>
      </c>
    </row>
    <row r="52" spans="2:20" x14ac:dyDescent="0.2">
      <c r="B52" t="s">
        <v>264</v>
      </c>
      <c r="C52" t="s">
        <v>101</v>
      </c>
      <c r="D52">
        <v>106575188</v>
      </c>
      <c r="E52" t="s">
        <v>5</v>
      </c>
      <c r="F52" t="s">
        <v>102</v>
      </c>
      <c r="P52" t="s">
        <v>547</v>
      </c>
      <c r="Q52" t="s">
        <v>360</v>
      </c>
      <c r="R52">
        <v>106567885</v>
      </c>
      <c r="S52" t="s">
        <v>5</v>
      </c>
      <c r="T52" t="s">
        <v>361</v>
      </c>
    </row>
    <row r="53" spans="2:20" x14ac:dyDescent="0.2">
      <c r="B53" t="s">
        <v>264</v>
      </c>
      <c r="C53" t="s">
        <v>103</v>
      </c>
      <c r="D53">
        <v>106601607</v>
      </c>
      <c r="E53" t="s">
        <v>5</v>
      </c>
      <c r="F53" t="s">
        <v>104</v>
      </c>
      <c r="P53" t="s">
        <v>547</v>
      </c>
      <c r="Q53" t="s">
        <v>362</v>
      </c>
      <c r="R53">
        <v>106610660</v>
      </c>
      <c r="S53" t="s">
        <v>5</v>
      </c>
      <c r="T53" t="s">
        <v>363</v>
      </c>
    </row>
    <row r="54" spans="2:20" x14ac:dyDescent="0.2">
      <c r="B54" t="s">
        <v>264</v>
      </c>
      <c r="C54" t="s">
        <v>105</v>
      </c>
      <c r="D54">
        <v>106572388</v>
      </c>
      <c r="E54" t="s">
        <v>5</v>
      </c>
      <c r="F54" t="s">
        <v>106</v>
      </c>
      <c r="P54" t="s">
        <v>547</v>
      </c>
      <c r="Q54" t="s">
        <v>364</v>
      </c>
      <c r="R54">
        <v>106587034</v>
      </c>
      <c r="S54" t="s">
        <v>5</v>
      </c>
      <c r="T54" t="s">
        <v>365</v>
      </c>
    </row>
    <row r="55" spans="2:20" x14ac:dyDescent="0.2">
      <c r="B55" t="s">
        <v>264</v>
      </c>
      <c r="C55" t="s">
        <v>107</v>
      </c>
      <c r="D55">
        <v>106585238</v>
      </c>
      <c r="E55" t="s">
        <v>5</v>
      </c>
      <c r="F55" t="s">
        <v>108</v>
      </c>
      <c r="P55" t="s">
        <v>547</v>
      </c>
      <c r="Q55" t="s">
        <v>366</v>
      </c>
      <c r="R55">
        <v>106569340</v>
      </c>
      <c r="S55" t="s">
        <v>5</v>
      </c>
      <c r="T55" t="s">
        <v>367</v>
      </c>
    </row>
    <row r="56" spans="2:20" x14ac:dyDescent="0.2">
      <c r="B56" t="s">
        <v>264</v>
      </c>
      <c r="C56" t="s">
        <v>109</v>
      </c>
      <c r="D56">
        <v>106573635</v>
      </c>
      <c r="E56" t="s">
        <v>5</v>
      </c>
      <c r="F56" t="s">
        <v>110</v>
      </c>
      <c r="P56" t="s">
        <v>547</v>
      </c>
      <c r="Q56" t="s">
        <v>368</v>
      </c>
      <c r="R56">
        <v>106612954</v>
      </c>
      <c r="S56" t="s">
        <v>5</v>
      </c>
      <c r="T56" t="s">
        <v>369</v>
      </c>
    </row>
    <row r="57" spans="2:20" x14ac:dyDescent="0.2">
      <c r="B57" t="s">
        <v>264</v>
      </c>
      <c r="C57" t="s">
        <v>111</v>
      </c>
      <c r="D57">
        <v>106608120</v>
      </c>
      <c r="E57" t="s">
        <v>5</v>
      </c>
      <c r="F57" t="s">
        <v>112</v>
      </c>
      <c r="P57" t="s">
        <v>547</v>
      </c>
      <c r="Q57" t="s">
        <v>370</v>
      </c>
      <c r="R57">
        <v>106578954</v>
      </c>
      <c r="S57" t="s">
        <v>5</v>
      </c>
      <c r="T57" t="s">
        <v>371</v>
      </c>
    </row>
    <row r="58" spans="2:20" x14ac:dyDescent="0.2">
      <c r="B58" t="s">
        <v>264</v>
      </c>
      <c r="C58" t="s">
        <v>113</v>
      </c>
      <c r="D58">
        <v>106570052</v>
      </c>
      <c r="E58" t="s">
        <v>5</v>
      </c>
      <c r="F58" t="s">
        <v>114</v>
      </c>
      <c r="P58" t="s">
        <v>547</v>
      </c>
      <c r="Q58" t="s">
        <v>372</v>
      </c>
      <c r="R58">
        <v>106589037</v>
      </c>
      <c r="S58" t="s">
        <v>5</v>
      </c>
      <c r="T58" t="s">
        <v>373</v>
      </c>
    </row>
    <row r="59" spans="2:20" x14ac:dyDescent="0.2">
      <c r="B59" t="s">
        <v>264</v>
      </c>
      <c r="C59" t="s">
        <v>115</v>
      </c>
      <c r="D59">
        <v>106568949</v>
      </c>
      <c r="E59" t="s">
        <v>5</v>
      </c>
      <c r="F59" t="s">
        <v>116</v>
      </c>
      <c r="P59" t="s">
        <v>547</v>
      </c>
      <c r="Q59" t="s">
        <v>374</v>
      </c>
      <c r="R59">
        <v>106603593</v>
      </c>
      <c r="S59" t="s">
        <v>5</v>
      </c>
      <c r="T59" t="s">
        <v>375</v>
      </c>
    </row>
    <row r="60" spans="2:20" x14ac:dyDescent="0.2">
      <c r="B60" t="s">
        <v>264</v>
      </c>
      <c r="C60" t="s">
        <v>117</v>
      </c>
      <c r="D60">
        <v>106581334</v>
      </c>
      <c r="E60" t="s">
        <v>5</v>
      </c>
      <c r="F60" t="s">
        <v>118</v>
      </c>
      <c r="P60" t="s">
        <v>547</v>
      </c>
      <c r="Q60" t="s">
        <v>376</v>
      </c>
      <c r="R60">
        <v>100380750</v>
      </c>
      <c r="S60" t="s">
        <v>5</v>
      </c>
      <c r="T60" t="s">
        <v>377</v>
      </c>
    </row>
    <row r="61" spans="2:20" x14ac:dyDescent="0.2">
      <c r="B61" t="s">
        <v>264</v>
      </c>
      <c r="C61" t="s">
        <v>119</v>
      </c>
      <c r="D61">
        <v>106567255</v>
      </c>
      <c r="E61" t="s">
        <v>5</v>
      </c>
      <c r="F61" t="s">
        <v>120</v>
      </c>
      <c r="P61" t="s">
        <v>547</v>
      </c>
      <c r="Q61" t="s">
        <v>378</v>
      </c>
      <c r="R61">
        <v>106568674</v>
      </c>
      <c r="S61" t="s">
        <v>5</v>
      </c>
      <c r="T61" t="s">
        <v>379</v>
      </c>
    </row>
    <row r="62" spans="2:20" x14ac:dyDescent="0.2">
      <c r="B62" t="s">
        <v>264</v>
      </c>
      <c r="C62" t="s">
        <v>121</v>
      </c>
      <c r="D62">
        <v>100195739</v>
      </c>
      <c r="E62" t="s">
        <v>5</v>
      </c>
      <c r="F62" t="s">
        <v>122</v>
      </c>
      <c r="P62" t="s">
        <v>547</v>
      </c>
      <c r="Q62" t="s">
        <v>380</v>
      </c>
      <c r="R62">
        <v>100194533</v>
      </c>
      <c r="S62" t="s">
        <v>5</v>
      </c>
      <c r="T62" t="s">
        <v>381</v>
      </c>
    </row>
    <row r="63" spans="2:20" x14ac:dyDescent="0.2">
      <c r="B63" t="s">
        <v>264</v>
      </c>
      <c r="C63" t="s">
        <v>123</v>
      </c>
      <c r="D63">
        <v>106613635</v>
      </c>
      <c r="E63" t="s">
        <v>5</v>
      </c>
      <c r="F63" t="s">
        <v>124</v>
      </c>
      <c r="P63" t="s">
        <v>547</v>
      </c>
      <c r="Q63" t="s">
        <v>382</v>
      </c>
      <c r="R63">
        <v>106607067</v>
      </c>
      <c r="S63" t="s">
        <v>5</v>
      </c>
      <c r="T63" t="s">
        <v>383</v>
      </c>
    </row>
    <row r="64" spans="2:20" x14ac:dyDescent="0.2">
      <c r="B64" t="s">
        <v>264</v>
      </c>
      <c r="C64" t="s">
        <v>125</v>
      </c>
      <c r="D64">
        <v>106582120</v>
      </c>
      <c r="E64" t="s">
        <v>5</v>
      </c>
      <c r="F64" t="s">
        <v>126</v>
      </c>
      <c r="P64" t="s">
        <v>547</v>
      </c>
      <c r="Q64" t="s">
        <v>384</v>
      </c>
      <c r="R64">
        <v>106560964</v>
      </c>
      <c r="S64" t="s">
        <v>5</v>
      </c>
      <c r="T64" t="s">
        <v>385</v>
      </c>
    </row>
    <row r="65" spans="2:20" x14ac:dyDescent="0.2">
      <c r="B65" t="s">
        <v>264</v>
      </c>
      <c r="C65" t="s">
        <v>127</v>
      </c>
      <c r="D65">
        <v>106608398</v>
      </c>
      <c r="E65" t="s">
        <v>5</v>
      </c>
      <c r="F65" t="s">
        <v>128</v>
      </c>
      <c r="P65" t="s">
        <v>547</v>
      </c>
      <c r="Q65" t="s">
        <v>386</v>
      </c>
      <c r="R65">
        <v>106560227</v>
      </c>
      <c r="S65" t="s">
        <v>5</v>
      </c>
      <c r="T65" t="s">
        <v>387</v>
      </c>
    </row>
    <row r="66" spans="2:20" x14ac:dyDescent="0.2">
      <c r="B66" t="s">
        <v>264</v>
      </c>
      <c r="C66" t="s">
        <v>129</v>
      </c>
      <c r="D66">
        <v>106613775</v>
      </c>
      <c r="E66" t="s">
        <v>5</v>
      </c>
      <c r="F66" t="s">
        <v>130</v>
      </c>
      <c r="P66" t="s">
        <v>547</v>
      </c>
      <c r="Q66" t="s">
        <v>388</v>
      </c>
      <c r="R66">
        <v>106584012</v>
      </c>
      <c r="S66" t="s">
        <v>5</v>
      </c>
      <c r="T66" t="s">
        <v>389</v>
      </c>
    </row>
    <row r="67" spans="2:20" x14ac:dyDescent="0.2">
      <c r="B67" t="s">
        <v>264</v>
      </c>
      <c r="C67" t="s">
        <v>131</v>
      </c>
      <c r="D67">
        <v>106563815</v>
      </c>
      <c r="E67" t="s">
        <v>5</v>
      </c>
      <c r="F67" t="s">
        <v>132</v>
      </c>
      <c r="P67" t="s">
        <v>547</v>
      </c>
      <c r="Q67" t="s">
        <v>390</v>
      </c>
      <c r="R67">
        <v>106613172</v>
      </c>
      <c r="S67" t="s">
        <v>5</v>
      </c>
      <c r="T67" t="s">
        <v>391</v>
      </c>
    </row>
    <row r="68" spans="2:20" x14ac:dyDescent="0.2">
      <c r="B68" t="s">
        <v>264</v>
      </c>
      <c r="C68" t="s">
        <v>133</v>
      </c>
      <c r="D68">
        <v>106585162</v>
      </c>
      <c r="E68" t="s">
        <v>5</v>
      </c>
      <c r="F68" t="s">
        <v>134</v>
      </c>
      <c r="P68" t="s">
        <v>547</v>
      </c>
      <c r="Q68" t="s">
        <v>392</v>
      </c>
      <c r="R68">
        <v>106585258</v>
      </c>
      <c r="S68" t="s">
        <v>5</v>
      </c>
      <c r="T68" t="s">
        <v>393</v>
      </c>
    </row>
    <row r="69" spans="2:20" x14ac:dyDescent="0.2">
      <c r="B69" t="s">
        <v>264</v>
      </c>
      <c r="C69" t="s">
        <v>135</v>
      </c>
      <c r="D69">
        <v>106586650</v>
      </c>
      <c r="E69" t="s">
        <v>5</v>
      </c>
      <c r="F69" t="s">
        <v>136</v>
      </c>
      <c r="P69" t="s">
        <v>547</v>
      </c>
      <c r="Q69" t="s">
        <v>394</v>
      </c>
      <c r="R69">
        <v>106575154</v>
      </c>
      <c r="S69" t="s">
        <v>5</v>
      </c>
      <c r="T69" t="s">
        <v>395</v>
      </c>
    </row>
    <row r="70" spans="2:20" x14ac:dyDescent="0.2">
      <c r="B70" t="s">
        <v>264</v>
      </c>
      <c r="C70" t="s">
        <v>137</v>
      </c>
      <c r="D70">
        <v>106577009</v>
      </c>
      <c r="E70" t="s">
        <v>5</v>
      </c>
      <c r="F70" t="s">
        <v>138</v>
      </c>
      <c r="P70" t="s">
        <v>547</v>
      </c>
      <c r="Q70" t="s">
        <v>396</v>
      </c>
      <c r="R70">
        <v>106564882</v>
      </c>
      <c r="S70" t="s">
        <v>5</v>
      </c>
      <c r="T70" t="s">
        <v>397</v>
      </c>
    </row>
    <row r="71" spans="2:20" x14ac:dyDescent="0.2">
      <c r="B71" t="s">
        <v>264</v>
      </c>
      <c r="C71" t="s">
        <v>139</v>
      </c>
      <c r="D71">
        <v>100136517</v>
      </c>
      <c r="E71" t="s">
        <v>5</v>
      </c>
      <c r="F71" t="s">
        <v>140</v>
      </c>
      <c r="P71" t="s">
        <v>547</v>
      </c>
      <c r="Q71" t="s">
        <v>398</v>
      </c>
      <c r="R71">
        <v>106573620</v>
      </c>
      <c r="S71" t="s">
        <v>5</v>
      </c>
      <c r="T71" t="s">
        <v>399</v>
      </c>
    </row>
    <row r="72" spans="2:20" x14ac:dyDescent="0.2">
      <c r="B72" t="s">
        <v>264</v>
      </c>
      <c r="C72" t="s">
        <v>141</v>
      </c>
      <c r="D72">
        <v>106610858</v>
      </c>
      <c r="E72" t="s">
        <v>5</v>
      </c>
      <c r="F72" t="s">
        <v>142</v>
      </c>
      <c r="P72" t="s">
        <v>547</v>
      </c>
      <c r="Q72" t="s">
        <v>400</v>
      </c>
      <c r="R72">
        <v>106581359</v>
      </c>
      <c r="S72" t="s">
        <v>5</v>
      </c>
      <c r="T72" t="s">
        <v>401</v>
      </c>
    </row>
    <row r="73" spans="2:20" x14ac:dyDescent="0.2">
      <c r="B73" t="s">
        <v>264</v>
      </c>
      <c r="C73" t="s">
        <v>143</v>
      </c>
      <c r="D73">
        <v>106606379</v>
      </c>
      <c r="E73" t="s">
        <v>5</v>
      </c>
      <c r="F73" t="s">
        <v>144</v>
      </c>
      <c r="P73" t="s">
        <v>547</v>
      </c>
      <c r="Q73" t="s">
        <v>402</v>
      </c>
      <c r="R73">
        <v>106605527</v>
      </c>
      <c r="S73" t="s">
        <v>5</v>
      </c>
      <c r="T73" t="s">
        <v>403</v>
      </c>
    </row>
    <row r="74" spans="2:20" x14ac:dyDescent="0.2">
      <c r="B74" t="s">
        <v>264</v>
      </c>
      <c r="C74" t="s">
        <v>145</v>
      </c>
      <c r="D74">
        <v>100306767</v>
      </c>
      <c r="E74" t="s">
        <v>5</v>
      </c>
      <c r="F74" t="s">
        <v>146</v>
      </c>
      <c r="P74" t="s">
        <v>547</v>
      </c>
      <c r="Q74" t="s">
        <v>404</v>
      </c>
      <c r="R74">
        <v>106581418</v>
      </c>
      <c r="S74" t="s">
        <v>5</v>
      </c>
      <c r="T74" t="s">
        <v>405</v>
      </c>
    </row>
    <row r="75" spans="2:20" x14ac:dyDescent="0.2">
      <c r="B75" t="s">
        <v>264</v>
      </c>
      <c r="C75" t="s">
        <v>147</v>
      </c>
      <c r="D75">
        <v>100195278</v>
      </c>
      <c r="E75" t="s">
        <v>5</v>
      </c>
      <c r="F75" t="s">
        <v>148</v>
      </c>
      <c r="P75" t="s">
        <v>547</v>
      </c>
      <c r="Q75" t="s">
        <v>406</v>
      </c>
      <c r="R75">
        <v>106589689</v>
      </c>
      <c r="S75" t="s">
        <v>5</v>
      </c>
      <c r="T75" t="s">
        <v>407</v>
      </c>
    </row>
    <row r="76" spans="2:20" x14ac:dyDescent="0.2">
      <c r="B76" t="s">
        <v>264</v>
      </c>
      <c r="C76" t="s">
        <v>149</v>
      </c>
      <c r="D76">
        <v>106584071</v>
      </c>
      <c r="E76" t="s">
        <v>5</v>
      </c>
      <c r="F76" t="s">
        <v>150</v>
      </c>
      <c r="P76" t="s">
        <v>547</v>
      </c>
      <c r="Q76" t="s">
        <v>408</v>
      </c>
      <c r="R76">
        <v>106561138</v>
      </c>
      <c r="S76" t="s">
        <v>5</v>
      </c>
      <c r="T76" t="s">
        <v>409</v>
      </c>
    </row>
    <row r="77" spans="2:20" x14ac:dyDescent="0.2">
      <c r="B77" t="s">
        <v>264</v>
      </c>
      <c r="C77" t="s">
        <v>151</v>
      </c>
      <c r="D77">
        <v>100380343</v>
      </c>
      <c r="E77" t="s">
        <v>5</v>
      </c>
      <c r="F77" t="s">
        <v>152</v>
      </c>
      <c r="P77" t="s">
        <v>547</v>
      </c>
      <c r="Q77" t="s">
        <v>410</v>
      </c>
      <c r="R77">
        <v>106578482</v>
      </c>
      <c r="S77" t="s">
        <v>5</v>
      </c>
      <c r="T77" t="s">
        <v>411</v>
      </c>
    </row>
    <row r="78" spans="2:20" x14ac:dyDescent="0.2">
      <c r="B78" t="s">
        <v>264</v>
      </c>
      <c r="C78" t="s">
        <v>153</v>
      </c>
      <c r="D78">
        <v>106601599</v>
      </c>
      <c r="E78" t="s">
        <v>5</v>
      </c>
      <c r="F78" t="s">
        <v>154</v>
      </c>
      <c r="P78" t="s">
        <v>547</v>
      </c>
      <c r="Q78" t="s">
        <v>412</v>
      </c>
      <c r="R78">
        <v>106582151</v>
      </c>
      <c r="S78" t="s">
        <v>5</v>
      </c>
      <c r="T78" t="s">
        <v>413</v>
      </c>
    </row>
    <row r="79" spans="2:20" x14ac:dyDescent="0.2">
      <c r="B79" t="s">
        <v>264</v>
      </c>
      <c r="C79" t="s">
        <v>155</v>
      </c>
      <c r="D79">
        <v>106575554</v>
      </c>
      <c r="E79" t="s">
        <v>5</v>
      </c>
      <c r="F79" t="s">
        <v>156</v>
      </c>
      <c r="P79" t="s">
        <v>547</v>
      </c>
      <c r="Q79" t="s">
        <v>414</v>
      </c>
      <c r="R79">
        <v>106579219</v>
      </c>
      <c r="S79" t="s">
        <v>5</v>
      </c>
      <c r="T79" t="s">
        <v>415</v>
      </c>
    </row>
    <row r="80" spans="2:20" x14ac:dyDescent="0.2">
      <c r="B80" t="s">
        <v>264</v>
      </c>
      <c r="C80" t="s">
        <v>157</v>
      </c>
      <c r="D80">
        <v>106603747</v>
      </c>
      <c r="E80" t="s">
        <v>5</v>
      </c>
      <c r="F80" t="s">
        <v>158</v>
      </c>
      <c r="P80" t="s">
        <v>547</v>
      </c>
      <c r="Q80" t="s">
        <v>416</v>
      </c>
      <c r="R80">
        <v>106573900</v>
      </c>
      <c r="S80" t="s">
        <v>5</v>
      </c>
      <c r="T80" t="s">
        <v>417</v>
      </c>
    </row>
    <row r="81" spans="2:20" x14ac:dyDescent="0.2">
      <c r="B81" t="s">
        <v>264</v>
      </c>
      <c r="C81" t="s">
        <v>159</v>
      </c>
      <c r="D81">
        <v>106583597</v>
      </c>
      <c r="E81" t="s">
        <v>5</v>
      </c>
      <c r="F81" t="s">
        <v>160</v>
      </c>
      <c r="P81" t="s">
        <v>547</v>
      </c>
      <c r="Q81" t="s">
        <v>418</v>
      </c>
      <c r="R81">
        <v>106590479</v>
      </c>
      <c r="S81" t="s">
        <v>5</v>
      </c>
      <c r="T81" t="s">
        <v>419</v>
      </c>
    </row>
    <row r="82" spans="2:20" x14ac:dyDescent="0.2">
      <c r="B82" t="s">
        <v>264</v>
      </c>
      <c r="C82" t="s">
        <v>161</v>
      </c>
      <c r="D82">
        <v>106567387</v>
      </c>
      <c r="E82" t="s">
        <v>5</v>
      </c>
      <c r="F82" t="s">
        <v>162</v>
      </c>
      <c r="P82" t="s">
        <v>547</v>
      </c>
      <c r="Q82" t="s">
        <v>420</v>
      </c>
      <c r="R82">
        <v>106566835</v>
      </c>
      <c r="S82" t="s">
        <v>5</v>
      </c>
      <c r="T82" t="s">
        <v>421</v>
      </c>
    </row>
    <row r="83" spans="2:20" x14ac:dyDescent="0.2">
      <c r="B83" t="s">
        <v>264</v>
      </c>
      <c r="C83" t="s">
        <v>163</v>
      </c>
      <c r="D83">
        <v>106560933</v>
      </c>
      <c r="E83" t="s">
        <v>5</v>
      </c>
      <c r="F83" t="s">
        <v>164</v>
      </c>
      <c r="P83" t="s">
        <v>547</v>
      </c>
      <c r="Q83" t="s">
        <v>422</v>
      </c>
      <c r="R83">
        <v>106588785</v>
      </c>
      <c r="S83" t="s">
        <v>5</v>
      </c>
      <c r="T83" t="s">
        <v>423</v>
      </c>
    </row>
    <row r="84" spans="2:20" x14ac:dyDescent="0.2">
      <c r="B84" t="s">
        <v>264</v>
      </c>
      <c r="C84" t="s">
        <v>165</v>
      </c>
      <c r="D84">
        <v>106603540</v>
      </c>
      <c r="E84" t="s">
        <v>5</v>
      </c>
      <c r="F84" t="s">
        <v>166</v>
      </c>
      <c r="P84" t="s">
        <v>547</v>
      </c>
      <c r="Q84" t="s">
        <v>424</v>
      </c>
      <c r="R84">
        <v>106568170</v>
      </c>
      <c r="S84" t="s">
        <v>5</v>
      </c>
      <c r="T84" t="s">
        <v>425</v>
      </c>
    </row>
    <row r="85" spans="2:20" x14ac:dyDescent="0.2">
      <c r="B85" t="s">
        <v>264</v>
      </c>
      <c r="C85" t="s">
        <v>167</v>
      </c>
      <c r="D85">
        <v>100194499</v>
      </c>
      <c r="E85" t="s">
        <v>5</v>
      </c>
      <c r="F85" t="s">
        <v>168</v>
      </c>
      <c r="P85" t="s">
        <v>547</v>
      </c>
      <c r="Q85" t="s">
        <v>426</v>
      </c>
      <c r="R85">
        <v>100380437</v>
      </c>
      <c r="S85" t="s">
        <v>5</v>
      </c>
      <c r="T85" t="s">
        <v>427</v>
      </c>
    </row>
    <row r="86" spans="2:20" x14ac:dyDescent="0.2">
      <c r="B86" t="s">
        <v>264</v>
      </c>
      <c r="C86" t="s">
        <v>169</v>
      </c>
      <c r="D86">
        <v>106578699</v>
      </c>
      <c r="E86" t="s">
        <v>5</v>
      </c>
      <c r="F86" t="s">
        <v>170</v>
      </c>
      <c r="P86" t="s">
        <v>547</v>
      </c>
      <c r="Q86" t="s">
        <v>428</v>
      </c>
      <c r="R86">
        <v>106564869</v>
      </c>
      <c r="S86" t="s">
        <v>5</v>
      </c>
      <c r="T86" t="s">
        <v>429</v>
      </c>
    </row>
    <row r="87" spans="2:20" x14ac:dyDescent="0.2">
      <c r="B87" t="s">
        <v>264</v>
      </c>
      <c r="C87" t="s">
        <v>171</v>
      </c>
      <c r="D87">
        <v>106582740</v>
      </c>
      <c r="E87" t="s">
        <v>5</v>
      </c>
      <c r="F87" t="s">
        <v>172</v>
      </c>
      <c r="P87" t="s">
        <v>547</v>
      </c>
      <c r="Q87" t="s">
        <v>430</v>
      </c>
      <c r="R87">
        <v>100380867</v>
      </c>
      <c r="S87" t="s">
        <v>5</v>
      </c>
      <c r="T87" t="s">
        <v>431</v>
      </c>
    </row>
    <row r="88" spans="2:20" x14ac:dyDescent="0.2">
      <c r="B88" t="s">
        <v>264</v>
      </c>
      <c r="C88" t="s">
        <v>173</v>
      </c>
      <c r="D88">
        <v>106601035</v>
      </c>
      <c r="E88" t="s">
        <v>5</v>
      </c>
      <c r="F88" t="s">
        <v>174</v>
      </c>
      <c r="P88" t="s">
        <v>547</v>
      </c>
      <c r="Q88" t="s">
        <v>432</v>
      </c>
      <c r="R88">
        <v>106567964</v>
      </c>
      <c r="S88" t="s">
        <v>5</v>
      </c>
      <c r="T88" t="s">
        <v>433</v>
      </c>
    </row>
    <row r="89" spans="2:20" x14ac:dyDescent="0.2">
      <c r="B89" t="s">
        <v>264</v>
      </c>
      <c r="C89" t="s">
        <v>175</v>
      </c>
      <c r="D89">
        <v>106603521</v>
      </c>
      <c r="E89" t="s">
        <v>5</v>
      </c>
      <c r="F89" t="s">
        <v>176</v>
      </c>
      <c r="P89" t="s">
        <v>547</v>
      </c>
      <c r="Q89" t="s">
        <v>434</v>
      </c>
      <c r="R89">
        <v>106568168</v>
      </c>
      <c r="S89" t="s">
        <v>5</v>
      </c>
      <c r="T89" t="s">
        <v>435</v>
      </c>
    </row>
    <row r="90" spans="2:20" x14ac:dyDescent="0.2">
      <c r="B90" t="s">
        <v>264</v>
      </c>
      <c r="C90" t="s">
        <v>177</v>
      </c>
      <c r="D90">
        <v>106582548</v>
      </c>
      <c r="E90" t="s">
        <v>5</v>
      </c>
      <c r="F90" t="s">
        <v>178</v>
      </c>
      <c r="P90" t="s">
        <v>547</v>
      </c>
      <c r="Q90" t="s">
        <v>436</v>
      </c>
      <c r="R90">
        <v>106575510</v>
      </c>
      <c r="S90" t="s">
        <v>5</v>
      </c>
      <c r="T90" t="s">
        <v>437</v>
      </c>
    </row>
    <row r="91" spans="2:20" x14ac:dyDescent="0.2">
      <c r="B91" t="s">
        <v>264</v>
      </c>
      <c r="C91" t="s">
        <v>179</v>
      </c>
      <c r="D91">
        <v>106573370</v>
      </c>
      <c r="E91" t="s">
        <v>5</v>
      </c>
      <c r="F91" t="s">
        <v>180</v>
      </c>
      <c r="P91" t="s">
        <v>547</v>
      </c>
      <c r="Q91" t="s">
        <v>438</v>
      </c>
      <c r="R91">
        <v>106563018</v>
      </c>
      <c r="S91" t="s">
        <v>5</v>
      </c>
      <c r="T91" t="s">
        <v>439</v>
      </c>
    </row>
    <row r="92" spans="2:20" x14ac:dyDescent="0.2">
      <c r="B92" t="s">
        <v>264</v>
      </c>
      <c r="C92" t="s">
        <v>181</v>
      </c>
      <c r="D92">
        <v>106567945</v>
      </c>
      <c r="E92" t="s">
        <v>5</v>
      </c>
      <c r="F92" t="s">
        <v>182</v>
      </c>
      <c r="P92" t="s">
        <v>547</v>
      </c>
      <c r="Q92" t="s">
        <v>440</v>
      </c>
      <c r="R92">
        <v>106588110</v>
      </c>
      <c r="S92" t="s">
        <v>5</v>
      </c>
      <c r="T92" t="s">
        <v>441</v>
      </c>
    </row>
    <row r="93" spans="2:20" x14ac:dyDescent="0.2">
      <c r="B93" t="s">
        <v>264</v>
      </c>
      <c r="C93" t="s">
        <v>183</v>
      </c>
      <c r="D93">
        <v>106564929</v>
      </c>
      <c r="E93" t="s">
        <v>5</v>
      </c>
      <c r="F93" t="s">
        <v>184</v>
      </c>
      <c r="P93" t="s">
        <v>547</v>
      </c>
      <c r="Q93" t="s">
        <v>442</v>
      </c>
      <c r="R93">
        <v>106599872</v>
      </c>
      <c r="S93" t="s">
        <v>5</v>
      </c>
      <c r="T93" t="s">
        <v>443</v>
      </c>
    </row>
    <row r="94" spans="2:20" x14ac:dyDescent="0.2">
      <c r="B94" t="s">
        <v>264</v>
      </c>
      <c r="C94" t="s">
        <v>185</v>
      </c>
      <c r="D94">
        <v>106577635</v>
      </c>
      <c r="E94" t="s">
        <v>5</v>
      </c>
      <c r="F94" t="s">
        <v>186</v>
      </c>
      <c r="P94" t="s">
        <v>547</v>
      </c>
      <c r="Q94" t="s">
        <v>444</v>
      </c>
      <c r="R94">
        <v>100286678</v>
      </c>
      <c r="S94" t="s">
        <v>5</v>
      </c>
      <c r="T94" t="s">
        <v>445</v>
      </c>
    </row>
    <row r="95" spans="2:20" x14ac:dyDescent="0.2">
      <c r="B95" t="s">
        <v>264</v>
      </c>
      <c r="C95" t="s">
        <v>187</v>
      </c>
      <c r="D95">
        <v>106613000</v>
      </c>
      <c r="E95" t="s">
        <v>5</v>
      </c>
      <c r="F95" t="s">
        <v>188</v>
      </c>
      <c r="P95" t="s">
        <v>547</v>
      </c>
      <c r="Q95" t="s">
        <v>446</v>
      </c>
      <c r="R95">
        <v>106585772</v>
      </c>
      <c r="S95" t="s">
        <v>5</v>
      </c>
      <c r="T95" t="s">
        <v>447</v>
      </c>
    </row>
    <row r="96" spans="2:20" x14ac:dyDescent="0.2">
      <c r="B96" t="s">
        <v>264</v>
      </c>
      <c r="C96" t="s">
        <v>189</v>
      </c>
      <c r="D96">
        <v>100195496</v>
      </c>
      <c r="E96" t="s">
        <v>5</v>
      </c>
      <c r="F96" t="s">
        <v>190</v>
      </c>
      <c r="P96" t="s">
        <v>547</v>
      </c>
      <c r="Q96" t="s">
        <v>448</v>
      </c>
      <c r="R96">
        <v>106573605</v>
      </c>
      <c r="S96" t="s">
        <v>5</v>
      </c>
      <c r="T96" t="s">
        <v>449</v>
      </c>
    </row>
    <row r="97" spans="2:20" x14ac:dyDescent="0.2">
      <c r="B97" t="s">
        <v>264</v>
      </c>
      <c r="C97" t="s">
        <v>191</v>
      </c>
      <c r="D97">
        <v>100196603</v>
      </c>
      <c r="E97" t="s">
        <v>5</v>
      </c>
      <c r="F97" t="s">
        <v>192</v>
      </c>
      <c r="P97" t="s">
        <v>547</v>
      </c>
      <c r="Q97" t="s">
        <v>450</v>
      </c>
      <c r="R97">
        <v>100195178</v>
      </c>
      <c r="S97" t="s">
        <v>5</v>
      </c>
      <c r="T97" t="s">
        <v>451</v>
      </c>
    </row>
    <row r="98" spans="2:20" x14ac:dyDescent="0.2">
      <c r="B98" t="s">
        <v>264</v>
      </c>
      <c r="C98" t="s">
        <v>193</v>
      </c>
      <c r="D98">
        <v>106600575</v>
      </c>
      <c r="E98" t="s">
        <v>5</v>
      </c>
      <c r="F98" t="s">
        <v>194</v>
      </c>
      <c r="P98" t="s">
        <v>547</v>
      </c>
      <c r="Q98" t="s">
        <v>452</v>
      </c>
      <c r="R98">
        <v>106611443</v>
      </c>
      <c r="S98" t="s">
        <v>5</v>
      </c>
      <c r="T98" t="s">
        <v>453</v>
      </c>
    </row>
    <row r="99" spans="2:20" x14ac:dyDescent="0.2">
      <c r="B99" t="s">
        <v>264</v>
      </c>
      <c r="C99" t="s">
        <v>195</v>
      </c>
      <c r="D99">
        <v>106579916</v>
      </c>
      <c r="E99" t="s">
        <v>5</v>
      </c>
      <c r="F99" t="s">
        <v>196</v>
      </c>
      <c r="P99" t="s">
        <v>547</v>
      </c>
      <c r="Q99" t="s">
        <v>454</v>
      </c>
      <c r="R99">
        <v>100194974</v>
      </c>
      <c r="S99" t="s">
        <v>5</v>
      </c>
      <c r="T99" t="s">
        <v>455</v>
      </c>
    </row>
    <row r="100" spans="2:20" x14ac:dyDescent="0.2">
      <c r="B100" t="s">
        <v>264</v>
      </c>
      <c r="C100" t="s">
        <v>197</v>
      </c>
      <c r="D100">
        <v>106582637</v>
      </c>
      <c r="E100" t="s">
        <v>5</v>
      </c>
      <c r="F100" t="s">
        <v>198</v>
      </c>
      <c r="P100" t="s">
        <v>547</v>
      </c>
      <c r="Q100" t="s">
        <v>456</v>
      </c>
      <c r="R100">
        <v>106603161</v>
      </c>
      <c r="S100" t="s">
        <v>5</v>
      </c>
      <c r="T100" t="s">
        <v>457</v>
      </c>
    </row>
    <row r="101" spans="2:20" x14ac:dyDescent="0.2">
      <c r="B101" t="s">
        <v>264</v>
      </c>
      <c r="C101" t="s">
        <v>199</v>
      </c>
      <c r="D101">
        <v>106570356</v>
      </c>
      <c r="E101" t="s">
        <v>5</v>
      </c>
      <c r="F101" t="s">
        <v>200</v>
      </c>
      <c r="P101" t="s">
        <v>547</v>
      </c>
      <c r="Q101" t="s">
        <v>458</v>
      </c>
      <c r="R101">
        <v>106579904</v>
      </c>
      <c r="S101" t="s">
        <v>5</v>
      </c>
      <c r="T101" t="s">
        <v>459</v>
      </c>
    </row>
    <row r="102" spans="2:20" x14ac:dyDescent="0.2">
      <c r="B102" t="s">
        <v>264</v>
      </c>
      <c r="C102" t="s">
        <v>201</v>
      </c>
      <c r="D102">
        <v>106594566</v>
      </c>
      <c r="E102" t="s">
        <v>5</v>
      </c>
      <c r="F102" t="s">
        <v>202</v>
      </c>
      <c r="P102" t="s">
        <v>547</v>
      </c>
      <c r="Q102" t="s">
        <v>460</v>
      </c>
      <c r="R102">
        <v>106566794</v>
      </c>
      <c r="S102" t="s">
        <v>5</v>
      </c>
      <c r="T102" t="s">
        <v>461</v>
      </c>
    </row>
    <row r="103" spans="2:20" x14ac:dyDescent="0.2">
      <c r="B103" t="s">
        <v>264</v>
      </c>
      <c r="C103" t="s">
        <v>203</v>
      </c>
      <c r="D103">
        <v>106589564</v>
      </c>
      <c r="E103" t="s">
        <v>5</v>
      </c>
      <c r="F103" t="s">
        <v>204</v>
      </c>
      <c r="P103" t="s">
        <v>547</v>
      </c>
      <c r="Q103" t="s">
        <v>462</v>
      </c>
      <c r="R103">
        <v>106601546</v>
      </c>
      <c r="S103" t="s">
        <v>5</v>
      </c>
      <c r="T103" t="s">
        <v>463</v>
      </c>
    </row>
    <row r="104" spans="2:20" x14ac:dyDescent="0.2">
      <c r="B104" t="s">
        <v>264</v>
      </c>
      <c r="C104" t="s">
        <v>205</v>
      </c>
      <c r="D104">
        <v>106565230</v>
      </c>
      <c r="E104" t="s">
        <v>5</v>
      </c>
      <c r="F104" t="s">
        <v>206</v>
      </c>
      <c r="P104" t="s">
        <v>547</v>
      </c>
      <c r="Q104" t="s">
        <v>464</v>
      </c>
      <c r="R104">
        <v>106595987</v>
      </c>
      <c r="S104" t="s">
        <v>5</v>
      </c>
      <c r="T104" t="s">
        <v>465</v>
      </c>
    </row>
    <row r="105" spans="2:20" x14ac:dyDescent="0.2">
      <c r="B105" t="s">
        <v>264</v>
      </c>
      <c r="C105" t="s">
        <v>207</v>
      </c>
      <c r="D105">
        <v>106571905</v>
      </c>
      <c r="E105" t="s">
        <v>5</v>
      </c>
      <c r="F105" t="s">
        <v>208</v>
      </c>
      <c r="P105" t="s">
        <v>547</v>
      </c>
      <c r="Q105" t="s">
        <v>466</v>
      </c>
      <c r="R105">
        <v>106561428</v>
      </c>
      <c r="S105" t="s">
        <v>5</v>
      </c>
      <c r="T105" t="s">
        <v>467</v>
      </c>
    </row>
    <row r="106" spans="2:20" x14ac:dyDescent="0.2">
      <c r="B106" t="s">
        <v>264</v>
      </c>
      <c r="C106" t="s">
        <v>209</v>
      </c>
      <c r="D106">
        <v>106566757</v>
      </c>
      <c r="E106" t="s">
        <v>5</v>
      </c>
      <c r="F106" t="s">
        <v>210</v>
      </c>
      <c r="P106" t="s">
        <v>547</v>
      </c>
      <c r="Q106" t="s">
        <v>468</v>
      </c>
      <c r="R106">
        <v>106567700</v>
      </c>
      <c r="S106" t="s">
        <v>5</v>
      </c>
      <c r="T106" t="s">
        <v>469</v>
      </c>
    </row>
    <row r="107" spans="2:20" x14ac:dyDescent="0.2">
      <c r="B107" t="s">
        <v>264</v>
      </c>
      <c r="C107" t="s">
        <v>211</v>
      </c>
      <c r="D107">
        <v>100380511</v>
      </c>
      <c r="E107" t="s">
        <v>5</v>
      </c>
      <c r="F107" t="s">
        <v>212</v>
      </c>
      <c r="P107" t="s">
        <v>547</v>
      </c>
      <c r="Q107" t="s">
        <v>470</v>
      </c>
      <c r="R107">
        <v>100194605</v>
      </c>
      <c r="S107" t="s">
        <v>5</v>
      </c>
      <c r="T107" t="s">
        <v>471</v>
      </c>
    </row>
    <row r="108" spans="2:20" x14ac:dyDescent="0.2">
      <c r="B108" t="s">
        <v>264</v>
      </c>
      <c r="C108" t="s">
        <v>213</v>
      </c>
      <c r="D108">
        <v>106579422</v>
      </c>
      <c r="E108" t="s">
        <v>5</v>
      </c>
      <c r="F108" t="s">
        <v>214</v>
      </c>
      <c r="P108" t="s">
        <v>547</v>
      </c>
      <c r="Q108" t="s">
        <v>472</v>
      </c>
      <c r="R108">
        <v>106579446</v>
      </c>
      <c r="S108" t="s">
        <v>5</v>
      </c>
      <c r="T108" t="s">
        <v>473</v>
      </c>
    </row>
    <row r="109" spans="2:20" x14ac:dyDescent="0.2">
      <c r="B109" t="s">
        <v>264</v>
      </c>
      <c r="C109" t="s">
        <v>215</v>
      </c>
      <c r="D109">
        <v>100286559</v>
      </c>
      <c r="E109" t="s">
        <v>5</v>
      </c>
      <c r="F109" t="s">
        <v>216</v>
      </c>
      <c r="P109" t="s">
        <v>547</v>
      </c>
      <c r="Q109" t="s">
        <v>474</v>
      </c>
      <c r="R109">
        <v>106574923</v>
      </c>
      <c r="S109" t="s">
        <v>5</v>
      </c>
      <c r="T109" t="s">
        <v>475</v>
      </c>
    </row>
    <row r="110" spans="2:20" x14ac:dyDescent="0.2">
      <c r="B110" t="s">
        <v>264</v>
      </c>
      <c r="C110" t="s">
        <v>217</v>
      </c>
      <c r="D110">
        <v>106583462</v>
      </c>
      <c r="E110" t="s">
        <v>5</v>
      </c>
      <c r="F110" t="s">
        <v>218</v>
      </c>
      <c r="P110" t="s">
        <v>547</v>
      </c>
      <c r="Q110" t="s">
        <v>476</v>
      </c>
      <c r="R110">
        <v>106577129</v>
      </c>
      <c r="S110" t="s">
        <v>5</v>
      </c>
      <c r="T110" t="s">
        <v>477</v>
      </c>
    </row>
    <row r="111" spans="2:20" x14ac:dyDescent="0.2">
      <c r="B111" t="s">
        <v>264</v>
      </c>
      <c r="C111" t="s">
        <v>219</v>
      </c>
      <c r="D111">
        <v>106602818</v>
      </c>
      <c r="E111" t="s">
        <v>5</v>
      </c>
      <c r="F111" t="s">
        <v>220</v>
      </c>
      <c r="P111" t="s">
        <v>547</v>
      </c>
      <c r="Q111" t="s">
        <v>478</v>
      </c>
      <c r="R111">
        <v>106612512</v>
      </c>
      <c r="S111" t="s">
        <v>5</v>
      </c>
      <c r="T111" t="s">
        <v>479</v>
      </c>
    </row>
    <row r="112" spans="2:20" x14ac:dyDescent="0.2">
      <c r="B112" t="s">
        <v>264</v>
      </c>
      <c r="C112" t="s">
        <v>221</v>
      </c>
      <c r="D112">
        <v>106580364</v>
      </c>
      <c r="E112" t="s">
        <v>5</v>
      </c>
      <c r="F112" t="s">
        <v>222</v>
      </c>
      <c r="P112" t="s">
        <v>547</v>
      </c>
      <c r="Q112" t="s">
        <v>480</v>
      </c>
      <c r="R112">
        <v>106566905</v>
      </c>
      <c r="S112" t="s">
        <v>5</v>
      </c>
      <c r="T112" t="s">
        <v>481</v>
      </c>
    </row>
    <row r="113" spans="2:20" x14ac:dyDescent="0.2">
      <c r="B113" t="s">
        <v>264</v>
      </c>
      <c r="C113" t="s">
        <v>223</v>
      </c>
      <c r="D113">
        <v>106605516</v>
      </c>
      <c r="E113" t="s">
        <v>5</v>
      </c>
      <c r="F113" t="s">
        <v>224</v>
      </c>
      <c r="P113" t="s">
        <v>547</v>
      </c>
      <c r="Q113" t="s">
        <v>482</v>
      </c>
      <c r="R113">
        <v>106581130</v>
      </c>
      <c r="S113" t="s">
        <v>5</v>
      </c>
      <c r="T113" t="s">
        <v>483</v>
      </c>
    </row>
    <row r="114" spans="2:20" x14ac:dyDescent="0.2">
      <c r="B114" t="s">
        <v>264</v>
      </c>
      <c r="C114" t="s">
        <v>225</v>
      </c>
      <c r="D114">
        <v>106576365</v>
      </c>
      <c r="E114" t="s">
        <v>5</v>
      </c>
      <c r="F114" t="s">
        <v>226</v>
      </c>
      <c r="P114" t="s">
        <v>547</v>
      </c>
      <c r="Q114" t="s">
        <v>484</v>
      </c>
      <c r="R114">
        <v>106601082</v>
      </c>
      <c r="S114" t="s">
        <v>5</v>
      </c>
      <c r="T114" t="s">
        <v>485</v>
      </c>
    </row>
    <row r="115" spans="2:20" x14ac:dyDescent="0.2">
      <c r="B115" t="s">
        <v>264</v>
      </c>
      <c r="C115" t="s">
        <v>227</v>
      </c>
      <c r="D115">
        <v>106563157</v>
      </c>
      <c r="E115" t="s">
        <v>5</v>
      </c>
      <c r="F115" t="s">
        <v>228</v>
      </c>
      <c r="P115" t="s">
        <v>547</v>
      </c>
      <c r="Q115" t="s">
        <v>486</v>
      </c>
      <c r="R115">
        <v>106585529</v>
      </c>
      <c r="S115" t="s">
        <v>5</v>
      </c>
      <c r="T115" t="s">
        <v>487</v>
      </c>
    </row>
    <row r="116" spans="2:20" x14ac:dyDescent="0.2">
      <c r="B116" t="s">
        <v>264</v>
      </c>
      <c r="C116" t="s">
        <v>229</v>
      </c>
      <c r="D116">
        <v>106563829</v>
      </c>
      <c r="E116" t="s">
        <v>5</v>
      </c>
      <c r="F116" t="s">
        <v>230</v>
      </c>
      <c r="P116" t="s">
        <v>547</v>
      </c>
      <c r="Q116" t="s">
        <v>488</v>
      </c>
      <c r="R116">
        <v>106613111</v>
      </c>
      <c r="S116" t="s">
        <v>5</v>
      </c>
      <c r="T116" t="s">
        <v>489</v>
      </c>
    </row>
    <row r="117" spans="2:20" x14ac:dyDescent="0.2">
      <c r="B117" t="s">
        <v>264</v>
      </c>
      <c r="C117" t="s">
        <v>231</v>
      </c>
      <c r="D117">
        <v>106603820</v>
      </c>
      <c r="E117" t="s">
        <v>5</v>
      </c>
      <c r="F117" t="s">
        <v>232</v>
      </c>
      <c r="P117" t="s">
        <v>547</v>
      </c>
      <c r="Q117" t="s">
        <v>490</v>
      </c>
      <c r="R117">
        <v>106579286</v>
      </c>
      <c r="S117" t="s">
        <v>5</v>
      </c>
      <c r="T117" t="s">
        <v>491</v>
      </c>
    </row>
    <row r="118" spans="2:20" x14ac:dyDescent="0.2">
      <c r="B118" t="s">
        <v>264</v>
      </c>
      <c r="C118" t="s">
        <v>233</v>
      </c>
      <c r="D118">
        <v>106571479</v>
      </c>
      <c r="E118" t="s">
        <v>5</v>
      </c>
      <c r="F118" t="s">
        <v>234</v>
      </c>
      <c r="P118" t="s">
        <v>547</v>
      </c>
      <c r="Q118" t="s">
        <v>492</v>
      </c>
      <c r="R118">
        <v>106569535</v>
      </c>
      <c r="S118" t="s">
        <v>5</v>
      </c>
      <c r="T118" t="s">
        <v>493</v>
      </c>
    </row>
    <row r="119" spans="2:20" x14ac:dyDescent="0.2">
      <c r="B119" t="s">
        <v>264</v>
      </c>
      <c r="C119" t="s">
        <v>235</v>
      </c>
      <c r="D119">
        <v>106603405</v>
      </c>
      <c r="E119" t="s">
        <v>5</v>
      </c>
      <c r="F119" t="s">
        <v>236</v>
      </c>
      <c r="P119" t="s">
        <v>547</v>
      </c>
      <c r="Q119" t="s">
        <v>494</v>
      </c>
      <c r="R119">
        <v>106562970</v>
      </c>
      <c r="S119" t="s">
        <v>5</v>
      </c>
      <c r="T119" t="s">
        <v>495</v>
      </c>
    </row>
    <row r="120" spans="2:20" x14ac:dyDescent="0.2">
      <c r="B120" t="s">
        <v>264</v>
      </c>
      <c r="C120" t="s">
        <v>237</v>
      </c>
      <c r="D120">
        <v>106608215</v>
      </c>
      <c r="E120" t="s">
        <v>5</v>
      </c>
      <c r="F120" t="s">
        <v>238</v>
      </c>
      <c r="P120" t="s">
        <v>547</v>
      </c>
      <c r="Q120" t="s">
        <v>496</v>
      </c>
      <c r="R120">
        <v>106602463</v>
      </c>
      <c r="S120" t="s">
        <v>5</v>
      </c>
      <c r="T120" t="s">
        <v>497</v>
      </c>
    </row>
    <row r="121" spans="2:20" x14ac:dyDescent="0.2">
      <c r="B121" t="s">
        <v>264</v>
      </c>
      <c r="C121" t="s">
        <v>239</v>
      </c>
      <c r="D121">
        <v>106605646</v>
      </c>
      <c r="E121" t="s">
        <v>5</v>
      </c>
      <c r="F121" t="s">
        <v>240</v>
      </c>
      <c r="P121" t="s">
        <v>547</v>
      </c>
      <c r="Q121" t="s">
        <v>498</v>
      </c>
      <c r="R121">
        <v>100286559</v>
      </c>
      <c r="S121" t="s">
        <v>5</v>
      </c>
      <c r="T121" t="s">
        <v>216</v>
      </c>
    </row>
    <row r="122" spans="2:20" x14ac:dyDescent="0.2">
      <c r="B122" t="s">
        <v>264</v>
      </c>
      <c r="C122" t="s">
        <v>241</v>
      </c>
      <c r="D122">
        <v>106602804</v>
      </c>
      <c r="E122" t="s">
        <v>5</v>
      </c>
      <c r="F122" t="s">
        <v>242</v>
      </c>
      <c r="P122" t="s">
        <v>547</v>
      </c>
      <c r="Q122" t="s">
        <v>499</v>
      </c>
      <c r="R122">
        <v>106588078</v>
      </c>
      <c r="S122" t="s">
        <v>5</v>
      </c>
      <c r="T122" t="s">
        <v>500</v>
      </c>
    </row>
    <row r="123" spans="2:20" x14ac:dyDescent="0.2">
      <c r="B123" t="s">
        <v>264</v>
      </c>
      <c r="C123" t="s">
        <v>243</v>
      </c>
      <c r="D123">
        <v>106569546</v>
      </c>
      <c r="E123" t="s">
        <v>5</v>
      </c>
      <c r="F123" t="s">
        <v>244</v>
      </c>
      <c r="P123" t="s">
        <v>547</v>
      </c>
      <c r="Q123" t="s">
        <v>501</v>
      </c>
      <c r="R123">
        <v>106582735</v>
      </c>
      <c r="S123" t="s">
        <v>5</v>
      </c>
      <c r="T123" t="s">
        <v>502</v>
      </c>
    </row>
    <row r="124" spans="2:20" x14ac:dyDescent="0.2">
      <c r="B124" t="s">
        <v>264</v>
      </c>
      <c r="C124" t="s">
        <v>245</v>
      </c>
      <c r="D124">
        <v>106573762</v>
      </c>
      <c r="E124" t="s">
        <v>5</v>
      </c>
      <c r="F124" t="s">
        <v>246</v>
      </c>
      <c r="P124" t="s">
        <v>547</v>
      </c>
      <c r="Q124" t="s">
        <v>503</v>
      </c>
      <c r="R124">
        <v>106565140</v>
      </c>
      <c r="S124" t="s">
        <v>5</v>
      </c>
      <c r="T124" t="s">
        <v>504</v>
      </c>
    </row>
    <row r="125" spans="2:20" x14ac:dyDescent="0.2">
      <c r="B125" t="s">
        <v>264</v>
      </c>
      <c r="C125" t="s">
        <v>247</v>
      </c>
      <c r="D125">
        <v>106570373</v>
      </c>
      <c r="E125" t="s">
        <v>5</v>
      </c>
      <c r="F125" t="s">
        <v>248</v>
      </c>
      <c r="P125" t="s">
        <v>547</v>
      </c>
      <c r="Q125" t="s">
        <v>505</v>
      </c>
      <c r="R125">
        <v>106589820</v>
      </c>
      <c r="S125" t="s">
        <v>5</v>
      </c>
      <c r="T125" t="s">
        <v>506</v>
      </c>
    </row>
    <row r="126" spans="2:20" x14ac:dyDescent="0.2">
      <c r="B126" t="s">
        <v>264</v>
      </c>
      <c r="C126" t="s">
        <v>249</v>
      </c>
      <c r="D126">
        <v>106592571</v>
      </c>
      <c r="E126" t="s">
        <v>5</v>
      </c>
      <c r="F126" t="s">
        <v>250</v>
      </c>
      <c r="P126" t="s">
        <v>547</v>
      </c>
      <c r="Q126" t="s">
        <v>507</v>
      </c>
      <c r="R126">
        <v>106585282</v>
      </c>
      <c r="S126" t="s">
        <v>5</v>
      </c>
      <c r="T126" t="s">
        <v>508</v>
      </c>
    </row>
    <row r="127" spans="2:20" x14ac:dyDescent="0.2">
      <c r="B127" t="s">
        <v>264</v>
      </c>
      <c r="C127" t="s">
        <v>251</v>
      </c>
      <c r="D127">
        <v>106575957</v>
      </c>
      <c r="E127" t="s">
        <v>5</v>
      </c>
      <c r="F127" t="s">
        <v>252</v>
      </c>
      <c r="P127" t="s">
        <v>547</v>
      </c>
      <c r="Q127" t="s">
        <v>509</v>
      </c>
      <c r="R127">
        <v>106607213</v>
      </c>
      <c r="S127" t="s">
        <v>5</v>
      </c>
      <c r="T127" t="s">
        <v>510</v>
      </c>
    </row>
    <row r="128" spans="2:20" x14ac:dyDescent="0.2">
      <c r="B128" t="s">
        <v>264</v>
      </c>
      <c r="C128" t="s">
        <v>253</v>
      </c>
      <c r="D128">
        <v>106568747</v>
      </c>
      <c r="E128" t="s">
        <v>5</v>
      </c>
      <c r="F128" t="s">
        <v>254</v>
      </c>
      <c r="P128" t="s">
        <v>547</v>
      </c>
      <c r="Q128" t="s">
        <v>511</v>
      </c>
      <c r="R128">
        <v>100196036</v>
      </c>
      <c r="S128" t="s">
        <v>5</v>
      </c>
      <c r="T128" t="s">
        <v>512</v>
      </c>
    </row>
    <row r="129" spans="2:20" x14ac:dyDescent="0.2">
      <c r="B129" t="s">
        <v>264</v>
      </c>
      <c r="C129" t="s">
        <v>255</v>
      </c>
      <c r="D129">
        <v>106607305</v>
      </c>
      <c r="E129" t="s">
        <v>5</v>
      </c>
      <c r="F129" t="s">
        <v>256</v>
      </c>
      <c r="P129" t="s">
        <v>547</v>
      </c>
      <c r="Q129" t="s">
        <v>513</v>
      </c>
      <c r="R129">
        <v>106583224</v>
      </c>
      <c r="S129" t="s">
        <v>5</v>
      </c>
      <c r="T129" t="s">
        <v>514</v>
      </c>
    </row>
    <row r="130" spans="2:20" x14ac:dyDescent="0.2">
      <c r="B130" t="s">
        <v>264</v>
      </c>
      <c r="C130" t="s">
        <v>257</v>
      </c>
      <c r="D130">
        <v>106612416</v>
      </c>
      <c r="E130" t="s">
        <v>5</v>
      </c>
      <c r="F130" t="s">
        <v>258</v>
      </c>
      <c r="P130" t="s">
        <v>547</v>
      </c>
      <c r="Q130" t="s">
        <v>515</v>
      </c>
      <c r="R130">
        <v>100196751</v>
      </c>
      <c r="S130" t="s">
        <v>5</v>
      </c>
      <c r="T130" t="s">
        <v>516</v>
      </c>
    </row>
    <row r="131" spans="2:20" x14ac:dyDescent="0.2">
      <c r="B131" t="s">
        <v>264</v>
      </c>
      <c r="C131" t="s">
        <v>259</v>
      </c>
      <c r="D131">
        <v>106571474</v>
      </c>
      <c r="E131" t="s">
        <v>5</v>
      </c>
      <c r="F131" t="s">
        <v>260</v>
      </c>
      <c r="P131" t="s">
        <v>547</v>
      </c>
      <c r="Q131" t="s">
        <v>517</v>
      </c>
      <c r="R131">
        <v>106590474</v>
      </c>
      <c r="S131" t="s">
        <v>5</v>
      </c>
      <c r="T131" t="s">
        <v>518</v>
      </c>
    </row>
    <row r="132" spans="2:20" x14ac:dyDescent="0.2">
      <c r="B132" t="s">
        <v>264</v>
      </c>
      <c r="C132" t="s">
        <v>261</v>
      </c>
      <c r="D132">
        <v>106568930</v>
      </c>
      <c r="E132" t="s">
        <v>5</v>
      </c>
      <c r="F132" t="s">
        <v>262</v>
      </c>
      <c r="P132" t="s">
        <v>547</v>
      </c>
      <c r="Q132" t="s">
        <v>519</v>
      </c>
      <c r="R132">
        <v>106592057</v>
      </c>
      <c r="S132" t="s">
        <v>5</v>
      </c>
      <c r="T132" t="s">
        <v>520</v>
      </c>
    </row>
    <row r="133" spans="2:20" x14ac:dyDescent="0.2">
      <c r="B133" t="s">
        <v>584</v>
      </c>
      <c r="C133" t="s">
        <v>548</v>
      </c>
      <c r="D133">
        <v>106572151</v>
      </c>
      <c r="E133" t="s">
        <v>5</v>
      </c>
      <c r="F133" t="s">
        <v>549</v>
      </c>
      <c r="P133" t="s">
        <v>547</v>
      </c>
      <c r="Q133" t="s">
        <v>521</v>
      </c>
      <c r="R133">
        <v>106564790</v>
      </c>
      <c r="S133" t="s">
        <v>5</v>
      </c>
      <c r="T133" t="s">
        <v>522</v>
      </c>
    </row>
    <row r="134" spans="2:20" x14ac:dyDescent="0.2">
      <c r="B134" t="s">
        <v>584</v>
      </c>
      <c r="C134" t="s">
        <v>271</v>
      </c>
      <c r="D134">
        <v>106592818</v>
      </c>
      <c r="E134" t="s">
        <v>5</v>
      </c>
      <c r="F134" t="s">
        <v>272</v>
      </c>
      <c r="P134" t="s">
        <v>547</v>
      </c>
      <c r="Q134" t="s">
        <v>523</v>
      </c>
      <c r="R134">
        <v>106564921</v>
      </c>
      <c r="S134" t="s">
        <v>5</v>
      </c>
      <c r="T134" t="s">
        <v>524</v>
      </c>
    </row>
    <row r="135" spans="2:20" x14ac:dyDescent="0.2">
      <c r="B135" t="s">
        <v>584</v>
      </c>
      <c r="C135" t="s">
        <v>550</v>
      </c>
      <c r="D135">
        <v>106610748</v>
      </c>
      <c r="E135" t="s">
        <v>5</v>
      </c>
      <c r="F135" t="s">
        <v>551</v>
      </c>
      <c r="P135" t="s">
        <v>547</v>
      </c>
      <c r="Q135" t="s">
        <v>525</v>
      </c>
      <c r="R135">
        <v>106573852</v>
      </c>
      <c r="S135" t="s">
        <v>5</v>
      </c>
      <c r="T135" t="s">
        <v>526</v>
      </c>
    </row>
    <row r="136" spans="2:20" x14ac:dyDescent="0.2">
      <c r="B136" t="s">
        <v>584</v>
      </c>
      <c r="C136" t="s">
        <v>273</v>
      </c>
      <c r="D136">
        <v>106591125</v>
      </c>
      <c r="E136" t="s">
        <v>5</v>
      </c>
      <c r="F136" t="s">
        <v>274</v>
      </c>
      <c r="P136" t="s">
        <v>547</v>
      </c>
      <c r="Q136" t="s">
        <v>527</v>
      </c>
      <c r="R136">
        <v>106576269</v>
      </c>
      <c r="S136" t="s">
        <v>5</v>
      </c>
      <c r="T136" t="s">
        <v>528</v>
      </c>
    </row>
    <row r="137" spans="2:20" x14ac:dyDescent="0.2">
      <c r="B137" t="s">
        <v>584</v>
      </c>
      <c r="C137" t="s">
        <v>7</v>
      </c>
      <c r="D137">
        <v>106603053</v>
      </c>
      <c r="E137" t="s">
        <v>5</v>
      </c>
      <c r="F137" t="s">
        <v>8</v>
      </c>
      <c r="P137" t="s">
        <v>547</v>
      </c>
      <c r="Q137" t="s">
        <v>529</v>
      </c>
      <c r="R137">
        <v>106605136</v>
      </c>
      <c r="S137" t="s">
        <v>5</v>
      </c>
      <c r="T137" t="s">
        <v>530</v>
      </c>
    </row>
    <row r="138" spans="2:20" x14ac:dyDescent="0.2">
      <c r="B138" t="s">
        <v>584</v>
      </c>
      <c r="C138" t="s">
        <v>552</v>
      </c>
      <c r="D138">
        <v>100196384</v>
      </c>
      <c r="E138" t="s">
        <v>5</v>
      </c>
      <c r="F138" t="s">
        <v>553</v>
      </c>
      <c r="P138" t="s">
        <v>547</v>
      </c>
      <c r="Q138" t="s">
        <v>531</v>
      </c>
      <c r="R138">
        <v>106560567</v>
      </c>
      <c r="S138" t="s">
        <v>5</v>
      </c>
      <c r="T138" t="s">
        <v>532</v>
      </c>
    </row>
    <row r="139" spans="2:20" x14ac:dyDescent="0.2">
      <c r="B139" t="s">
        <v>584</v>
      </c>
      <c r="C139" t="s">
        <v>11</v>
      </c>
      <c r="D139">
        <v>106582378</v>
      </c>
      <c r="E139" t="s">
        <v>5</v>
      </c>
      <c r="F139" t="s">
        <v>12</v>
      </c>
      <c r="P139" t="s">
        <v>547</v>
      </c>
      <c r="Q139" t="s">
        <v>533</v>
      </c>
      <c r="R139">
        <v>106604409</v>
      </c>
      <c r="S139" t="s">
        <v>5</v>
      </c>
      <c r="T139" t="s">
        <v>534</v>
      </c>
    </row>
    <row r="140" spans="2:20" x14ac:dyDescent="0.2">
      <c r="B140" t="s">
        <v>584</v>
      </c>
      <c r="C140" t="s">
        <v>13</v>
      </c>
      <c r="D140">
        <v>106567382</v>
      </c>
      <c r="E140" t="s">
        <v>5</v>
      </c>
      <c r="F140" t="s">
        <v>14</v>
      </c>
      <c r="P140" t="s">
        <v>547</v>
      </c>
      <c r="Q140" t="s">
        <v>535</v>
      </c>
      <c r="R140">
        <v>100136509</v>
      </c>
      <c r="S140" t="s">
        <v>5</v>
      </c>
      <c r="T140" t="s">
        <v>536</v>
      </c>
    </row>
    <row r="141" spans="2:20" x14ac:dyDescent="0.2">
      <c r="B141" t="s">
        <v>584</v>
      </c>
      <c r="C141" t="s">
        <v>15</v>
      </c>
      <c r="D141">
        <v>106600510</v>
      </c>
      <c r="E141" t="s">
        <v>5</v>
      </c>
      <c r="F141" t="s">
        <v>16</v>
      </c>
      <c r="P141" t="s">
        <v>547</v>
      </c>
      <c r="Q141" t="s">
        <v>537</v>
      </c>
      <c r="R141">
        <v>106613227</v>
      </c>
      <c r="S141" t="s">
        <v>5</v>
      </c>
      <c r="T141" t="s">
        <v>538</v>
      </c>
    </row>
    <row r="142" spans="2:20" x14ac:dyDescent="0.2">
      <c r="B142" t="s">
        <v>584</v>
      </c>
      <c r="C142" t="s">
        <v>283</v>
      </c>
      <c r="D142">
        <v>106584829</v>
      </c>
      <c r="E142" t="s">
        <v>5</v>
      </c>
      <c r="F142" t="s">
        <v>284</v>
      </c>
      <c r="P142" t="s">
        <v>547</v>
      </c>
      <c r="Q142" t="s">
        <v>539</v>
      </c>
      <c r="R142">
        <v>106608778</v>
      </c>
      <c r="S142" t="s">
        <v>5</v>
      </c>
      <c r="T142" t="s">
        <v>540</v>
      </c>
    </row>
    <row r="143" spans="2:20" x14ac:dyDescent="0.2">
      <c r="B143" t="s">
        <v>584</v>
      </c>
      <c r="C143" t="s">
        <v>285</v>
      </c>
      <c r="D143">
        <v>106572261</v>
      </c>
      <c r="E143" t="s">
        <v>5</v>
      </c>
      <c r="F143" t="s">
        <v>286</v>
      </c>
      <c r="P143" t="s">
        <v>547</v>
      </c>
      <c r="Q143" t="s">
        <v>541</v>
      </c>
      <c r="R143">
        <v>106572046</v>
      </c>
      <c r="S143" t="s">
        <v>5</v>
      </c>
      <c r="T143" t="s">
        <v>542</v>
      </c>
    </row>
    <row r="144" spans="2:20" x14ac:dyDescent="0.2">
      <c r="B144" t="s">
        <v>584</v>
      </c>
      <c r="C144" t="s">
        <v>19</v>
      </c>
      <c r="D144">
        <v>106569403</v>
      </c>
      <c r="E144" t="s">
        <v>5</v>
      </c>
      <c r="F144" t="s">
        <v>20</v>
      </c>
      <c r="P144" t="s">
        <v>547</v>
      </c>
      <c r="Q144" t="s">
        <v>543</v>
      </c>
      <c r="R144">
        <v>106602915</v>
      </c>
      <c r="S144" t="s">
        <v>5</v>
      </c>
      <c r="T144" t="s">
        <v>544</v>
      </c>
    </row>
    <row r="145" spans="2:20" x14ac:dyDescent="0.2">
      <c r="B145" t="s">
        <v>584</v>
      </c>
      <c r="C145" t="s">
        <v>21</v>
      </c>
      <c r="D145">
        <v>106584495</v>
      </c>
      <c r="E145" t="s">
        <v>5</v>
      </c>
      <c r="F145" t="s">
        <v>22</v>
      </c>
      <c r="P145" t="s">
        <v>547</v>
      </c>
      <c r="Q145" t="s">
        <v>545</v>
      </c>
      <c r="R145">
        <v>106601908</v>
      </c>
      <c r="S145" t="s">
        <v>5</v>
      </c>
      <c r="T145" t="s">
        <v>546</v>
      </c>
    </row>
    <row r="146" spans="2:20" x14ac:dyDescent="0.2">
      <c r="B146" t="s">
        <v>584</v>
      </c>
      <c r="C146" t="s">
        <v>23</v>
      </c>
      <c r="D146">
        <v>106567563</v>
      </c>
      <c r="E146" t="s">
        <v>5</v>
      </c>
      <c r="F146" t="s">
        <v>24</v>
      </c>
      <c r="P146" t="s">
        <v>621</v>
      </c>
      <c r="Q146" t="s">
        <v>585</v>
      </c>
      <c r="R146">
        <v>106565215</v>
      </c>
      <c r="S146" t="s">
        <v>5</v>
      </c>
      <c r="T146" t="s">
        <v>586</v>
      </c>
    </row>
    <row r="147" spans="2:20" x14ac:dyDescent="0.2">
      <c r="B147" t="s">
        <v>584</v>
      </c>
      <c r="C147" t="s">
        <v>25</v>
      </c>
      <c r="D147">
        <v>106563593</v>
      </c>
      <c r="E147" t="s">
        <v>5</v>
      </c>
      <c r="F147" t="s">
        <v>26</v>
      </c>
      <c r="P147" t="s">
        <v>621</v>
      </c>
      <c r="Q147" t="s">
        <v>4</v>
      </c>
      <c r="R147">
        <v>106609995</v>
      </c>
      <c r="S147" t="s">
        <v>5</v>
      </c>
      <c r="T147" t="s">
        <v>6</v>
      </c>
    </row>
    <row r="148" spans="2:20" x14ac:dyDescent="0.2">
      <c r="B148" t="s">
        <v>584</v>
      </c>
      <c r="C148" t="s">
        <v>289</v>
      </c>
      <c r="D148">
        <v>106578137</v>
      </c>
      <c r="E148" t="s">
        <v>5</v>
      </c>
      <c r="F148" t="s">
        <v>290</v>
      </c>
      <c r="P148" t="s">
        <v>621</v>
      </c>
      <c r="Q148" t="s">
        <v>265</v>
      </c>
      <c r="R148">
        <v>106587014</v>
      </c>
      <c r="S148" t="s">
        <v>5</v>
      </c>
      <c r="T148" t="s">
        <v>266</v>
      </c>
    </row>
    <row r="149" spans="2:20" x14ac:dyDescent="0.2">
      <c r="B149" t="s">
        <v>584</v>
      </c>
      <c r="C149" t="s">
        <v>27</v>
      </c>
      <c r="D149">
        <v>106561370</v>
      </c>
      <c r="E149" t="s">
        <v>5</v>
      </c>
      <c r="F149" t="s">
        <v>28</v>
      </c>
      <c r="P149" t="s">
        <v>621</v>
      </c>
      <c r="Q149" t="s">
        <v>267</v>
      </c>
      <c r="R149">
        <v>106589264</v>
      </c>
      <c r="S149" t="s">
        <v>5</v>
      </c>
      <c r="T149" t="s">
        <v>268</v>
      </c>
    </row>
    <row r="150" spans="2:20" x14ac:dyDescent="0.2">
      <c r="B150" t="s">
        <v>584</v>
      </c>
      <c r="C150" t="s">
        <v>293</v>
      </c>
      <c r="D150">
        <v>100194780</v>
      </c>
      <c r="E150" t="s">
        <v>5</v>
      </c>
      <c r="F150" t="s">
        <v>294</v>
      </c>
      <c r="P150" t="s">
        <v>621</v>
      </c>
      <c r="Q150" t="s">
        <v>269</v>
      </c>
      <c r="R150">
        <v>106560529</v>
      </c>
      <c r="S150" t="s">
        <v>5</v>
      </c>
      <c r="T150" t="s">
        <v>270</v>
      </c>
    </row>
    <row r="151" spans="2:20" x14ac:dyDescent="0.2">
      <c r="B151" t="s">
        <v>584</v>
      </c>
      <c r="C151" t="s">
        <v>295</v>
      </c>
      <c r="D151">
        <v>106563584</v>
      </c>
      <c r="E151" t="s">
        <v>5</v>
      </c>
      <c r="F151" t="s">
        <v>296</v>
      </c>
      <c r="P151" t="s">
        <v>621</v>
      </c>
      <c r="Q151" t="s">
        <v>587</v>
      </c>
      <c r="R151">
        <v>100136351</v>
      </c>
      <c r="S151" t="s">
        <v>5</v>
      </c>
      <c r="T151" t="s">
        <v>588</v>
      </c>
    </row>
    <row r="152" spans="2:20" x14ac:dyDescent="0.2">
      <c r="B152" t="s">
        <v>584</v>
      </c>
      <c r="C152" t="s">
        <v>31</v>
      </c>
      <c r="D152">
        <v>106605767</v>
      </c>
      <c r="E152" t="s">
        <v>5</v>
      </c>
      <c r="F152" t="s">
        <v>32</v>
      </c>
      <c r="P152" t="s">
        <v>621</v>
      </c>
      <c r="Q152" t="s">
        <v>589</v>
      </c>
      <c r="R152">
        <v>106607324</v>
      </c>
      <c r="S152" t="s">
        <v>5</v>
      </c>
      <c r="T152" t="s">
        <v>590</v>
      </c>
    </row>
    <row r="153" spans="2:20" x14ac:dyDescent="0.2">
      <c r="B153" t="s">
        <v>584</v>
      </c>
      <c r="C153" t="s">
        <v>554</v>
      </c>
      <c r="D153">
        <v>106571899</v>
      </c>
      <c r="E153" t="s">
        <v>5</v>
      </c>
      <c r="F153" t="s">
        <v>555</v>
      </c>
      <c r="P153" t="s">
        <v>621</v>
      </c>
      <c r="Q153" t="s">
        <v>9</v>
      </c>
      <c r="R153">
        <v>106579053</v>
      </c>
      <c r="S153" t="s">
        <v>5</v>
      </c>
      <c r="T153" t="s">
        <v>10</v>
      </c>
    </row>
    <row r="154" spans="2:20" x14ac:dyDescent="0.2">
      <c r="B154" t="s">
        <v>584</v>
      </c>
      <c r="C154" t="s">
        <v>301</v>
      </c>
      <c r="D154">
        <v>106605415</v>
      </c>
      <c r="E154" t="s">
        <v>5</v>
      </c>
      <c r="F154" t="s">
        <v>302</v>
      </c>
      <c r="P154" t="s">
        <v>621</v>
      </c>
      <c r="Q154" t="s">
        <v>275</v>
      </c>
      <c r="R154">
        <v>106577633</v>
      </c>
      <c r="S154" t="s">
        <v>5</v>
      </c>
      <c r="T154" t="s">
        <v>276</v>
      </c>
    </row>
    <row r="155" spans="2:20" x14ac:dyDescent="0.2">
      <c r="B155" t="s">
        <v>584</v>
      </c>
      <c r="C155" t="s">
        <v>303</v>
      </c>
      <c r="D155">
        <v>106609140</v>
      </c>
      <c r="E155" t="s">
        <v>5</v>
      </c>
      <c r="F155" t="s">
        <v>304</v>
      </c>
      <c r="P155" t="s">
        <v>621</v>
      </c>
      <c r="Q155" t="s">
        <v>279</v>
      </c>
      <c r="R155">
        <v>106603065</v>
      </c>
      <c r="S155" t="s">
        <v>5</v>
      </c>
      <c r="T155" t="s">
        <v>280</v>
      </c>
    </row>
    <row r="156" spans="2:20" x14ac:dyDescent="0.2">
      <c r="B156" t="s">
        <v>584</v>
      </c>
      <c r="C156" t="s">
        <v>303</v>
      </c>
      <c r="D156">
        <v>106609141</v>
      </c>
      <c r="E156" t="s">
        <v>5</v>
      </c>
      <c r="F156" t="s">
        <v>305</v>
      </c>
      <c r="P156" t="s">
        <v>621</v>
      </c>
      <c r="Q156" t="s">
        <v>281</v>
      </c>
      <c r="R156">
        <v>106589390</v>
      </c>
      <c r="S156" t="s">
        <v>5</v>
      </c>
      <c r="T156" t="s">
        <v>282</v>
      </c>
    </row>
    <row r="157" spans="2:20" x14ac:dyDescent="0.2">
      <c r="B157" t="s">
        <v>584</v>
      </c>
      <c r="C157" t="s">
        <v>33</v>
      </c>
      <c r="D157">
        <v>106566970</v>
      </c>
      <c r="E157" t="s">
        <v>5</v>
      </c>
      <c r="F157" t="s">
        <v>34</v>
      </c>
      <c r="P157" t="s">
        <v>621</v>
      </c>
      <c r="Q157" t="s">
        <v>17</v>
      </c>
      <c r="R157">
        <v>106582798</v>
      </c>
      <c r="S157" t="s">
        <v>5</v>
      </c>
      <c r="T157" t="s">
        <v>18</v>
      </c>
    </row>
    <row r="158" spans="2:20" x14ac:dyDescent="0.2">
      <c r="B158" t="s">
        <v>584</v>
      </c>
      <c r="C158" t="s">
        <v>35</v>
      </c>
      <c r="D158">
        <v>106599063</v>
      </c>
      <c r="E158" t="s">
        <v>5</v>
      </c>
      <c r="F158" t="s">
        <v>36</v>
      </c>
      <c r="P158" t="s">
        <v>621</v>
      </c>
      <c r="Q158" t="s">
        <v>287</v>
      </c>
      <c r="R158">
        <v>106599874</v>
      </c>
      <c r="S158" t="s">
        <v>5</v>
      </c>
      <c r="T158" t="s">
        <v>288</v>
      </c>
    </row>
    <row r="159" spans="2:20" x14ac:dyDescent="0.2">
      <c r="B159" t="s">
        <v>584</v>
      </c>
      <c r="C159" t="s">
        <v>310</v>
      </c>
      <c r="D159">
        <v>106579140</v>
      </c>
      <c r="E159" t="s">
        <v>5</v>
      </c>
      <c r="F159" t="s">
        <v>311</v>
      </c>
      <c r="P159" t="s">
        <v>621</v>
      </c>
      <c r="Q159" t="s">
        <v>291</v>
      </c>
      <c r="R159">
        <v>106592479</v>
      </c>
      <c r="S159" t="s">
        <v>5</v>
      </c>
      <c r="T159" t="s">
        <v>292</v>
      </c>
    </row>
    <row r="160" spans="2:20" x14ac:dyDescent="0.2">
      <c r="B160" t="s">
        <v>584</v>
      </c>
      <c r="C160" t="s">
        <v>312</v>
      </c>
      <c r="D160">
        <v>106584773</v>
      </c>
      <c r="E160" t="s">
        <v>5</v>
      </c>
      <c r="F160" t="s">
        <v>313</v>
      </c>
      <c r="P160" t="s">
        <v>621</v>
      </c>
      <c r="Q160" t="s">
        <v>591</v>
      </c>
      <c r="R160">
        <v>106579325</v>
      </c>
      <c r="S160" t="s">
        <v>5</v>
      </c>
      <c r="T160" t="s">
        <v>592</v>
      </c>
    </row>
    <row r="161" spans="2:20" x14ac:dyDescent="0.2">
      <c r="B161" t="s">
        <v>584</v>
      </c>
      <c r="C161" t="s">
        <v>37</v>
      </c>
      <c r="D161">
        <v>106590060</v>
      </c>
      <c r="E161" t="s">
        <v>5</v>
      </c>
      <c r="F161" t="s">
        <v>38</v>
      </c>
      <c r="P161" t="s">
        <v>621</v>
      </c>
      <c r="Q161" t="s">
        <v>297</v>
      </c>
      <c r="R161">
        <v>106599005</v>
      </c>
      <c r="S161" t="s">
        <v>5</v>
      </c>
      <c r="T161" t="s">
        <v>298</v>
      </c>
    </row>
    <row r="162" spans="2:20" x14ac:dyDescent="0.2">
      <c r="B162" t="s">
        <v>584</v>
      </c>
      <c r="C162" t="s">
        <v>556</v>
      </c>
      <c r="D162">
        <v>106572675</v>
      </c>
      <c r="E162" t="s">
        <v>5</v>
      </c>
      <c r="F162" t="s">
        <v>557</v>
      </c>
      <c r="P162" t="s">
        <v>621</v>
      </c>
      <c r="Q162" t="s">
        <v>593</v>
      </c>
      <c r="R162">
        <v>106567052</v>
      </c>
      <c r="S162" t="s">
        <v>5</v>
      </c>
      <c r="T162" t="s">
        <v>594</v>
      </c>
    </row>
    <row r="163" spans="2:20" x14ac:dyDescent="0.2">
      <c r="B163" t="s">
        <v>584</v>
      </c>
      <c r="C163" t="s">
        <v>41</v>
      </c>
      <c r="D163">
        <v>106609475</v>
      </c>
      <c r="E163" t="s">
        <v>5</v>
      </c>
      <c r="F163" t="s">
        <v>42</v>
      </c>
      <c r="P163" t="s">
        <v>621</v>
      </c>
      <c r="Q163" t="s">
        <v>29</v>
      </c>
      <c r="R163">
        <v>106575172</v>
      </c>
      <c r="S163" t="s">
        <v>5</v>
      </c>
      <c r="T163" t="s">
        <v>30</v>
      </c>
    </row>
    <row r="164" spans="2:20" x14ac:dyDescent="0.2">
      <c r="B164" t="s">
        <v>584</v>
      </c>
      <c r="C164" t="s">
        <v>558</v>
      </c>
      <c r="D164">
        <v>106613931</v>
      </c>
      <c r="E164" t="s">
        <v>5</v>
      </c>
      <c r="F164" t="s">
        <v>559</v>
      </c>
      <c r="P164" t="s">
        <v>621</v>
      </c>
      <c r="Q164" t="s">
        <v>299</v>
      </c>
      <c r="R164">
        <v>106574304</v>
      </c>
      <c r="S164" t="s">
        <v>5</v>
      </c>
      <c r="T164" t="s">
        <v>300</v>
      </c>
    </row>
    <row r="165" spans="2:20" x14ac:dyDescent="0.2">
      <c r="B165" t="s">
        <v>584</v>
      </c>
      <c r="C165" t="s">
        <v>320</v>
      </c>
      <c r="D165">
        <v>106598808</v>
      </c>
      <c r="E165" t="s">
        <v>5</v>
      </c>
      <c r="F165" t="s">
        <v>321</v>
      </c>
      <c r="P165" t="s">
        <v>621</v>
      </c>
      <c r="Q165" t="s">
        <v>595</v>
      </c>
      <c r="R165">
        <v>106574888</v>
      </c>
      <c r="S165" t="s">
        <v>5</v>
      </c>
      <c r="T165" t="s">
        <v>596</v>
      </c>
    </row>
    <row r="166" spans="2:20" x14ac:dyDescent="0.2">
      <c r="B166" t="s">
        <v>584</v>
      </c>
      <c r="C166" t="s">
        <v>45</v>
      </c>
      <c r="D166">
        <v>106599971</v>
      </c>
      <c r="E166" t="s">
        <v>5</v>
      </c>
      <c r="F166" t="s">
        <v>46</v>
      </c>
      <c r="P166" t="s">
        <v>621</v>
      </c>
      <c r="Q166" t="s">
        <v>597</v>
      </c>
      <c r="R166">
        <v>106565616</v>
      </c>
      <c r="S166" t="s">
        <v>5</v>
      </c>
      <c r="T166" t="s">
        <v>598</v>
      </c>
    </row>
    <row r="167" spans="2:20" x14ac:dyDescent="0.2">
      <c r="B167" t="s">
        <v>584</v>
      </c>
      <c r="C167" t="s">
        <v>322</v>
      </c>
      <c r="D167">
        <v>106578250</v>
      </c>
      <c r="E167" t="s">
        <v>5</v>
      </c>
      <c r="F167" t="s">
        <v>323</v>
      </c>
      <c r="P167" t="s">
        <v>621</v>
      </c>
      <c r="Q167" t="s">
        <v>306</v>
      </c>
      <c r="R167">
        <v>106560701</v>
      </c>
      <c r="S167" t="s">
        <v>5</v>
      </c>
      <c r="T167" t="s">
        <v>307</v>
      </c>
    </row>
    <row r="168" spans="2:20" x14ac:dyDescent="0.2">
      <c r="B168" t="s">
        <v>584</v>
      </c>
      <c r="C168" t="s">
        <v>324</v>
      </c>
      <c r="D168">
        <v>100380849</v>
      </c>
      <c r="E168" t="s">
        <v>5</v>
      </c>
      <c r="F168" t="s">
        <v>325</v>
      </c>
      <c r="P168" t="s">
        <v>621</v>
      </c>
      <c r="Q168" t="s">
        <v>308</v>
      </c>
      <c r="R168">
        <v>106581407</v>
      </c>
      <c r="S168" t="s">
        <v>5</v>
      </c>
      <c r="T168" t="s">
        <v>309</v>
      </c>
    </row>
    <row r="169" spans="2:20" x14ac:dyDescent="0.2">
      <c r="B169" t="s">
        <v>584</v>
      </c>
      <c r="C169" t="s">
        <v>47</v>
      </c>
      <c r="D169">
        <v>106609471</v>
      </c>
      <c r="E169" t="s">
        <v>5</v>
      </c>
      <c r="F169" t="s">
        <v>48</v>
      </c>
      <c r="P169" t="s">
        <v>621</v>
      </c>
      <c r="Q169" t="s">
        <v>314</v>
      </c>
      <c r="R169">
        <v>106595801</v>
      </c>
      <c r="S169" t="s">
        <v>5</v>
      </c>
      <c r="T169" t="s">
        <v>315</v>
      </c>
    </row>
    <row r="170" spans="2:20" x14ac:dyDescent="0.2">
      <c r="B170" t="s">
        <v>584</v>
      </c>
      <c r="C170" t="s">
        <v>49</v>
      </c>
      <c r="D170">
        <v>106563501</v>
      </c>
      <c r="E170" t="s">
        <v>5</v>
      </c>
      <c r="F170" t="s">
        <v>50</v>
      </c>
      <c r="P170" t="s">
        <v>621</v>
      </c>
      <c r="Q170" t="s">
        <v>316</v>
      </c>
      <c r="R170">
        <v>106577395</v>
      </c>
      <c r="S170" t="s">
        <v>5</v>
      </c>
      <c r="T170" t="s">
        <v>317</v>
      </c>
    </row>
    <row r="171" spans="2:20" x14ac:dyDescent="0.2">
      <c r="B171" t="s">
        <v>584</v>
      </c>
      <c r="C171" t="s">
        <v>51</v>
      </c>
      <c r="D171">
        <v>106564671</v>
      </c>
      <c r="E171" t="s">
        <v>5</v>
      </c>
      <c r="F171" t="s">
        <v>52</v>
      </c>
      <c r="P171" t="s">
        <v>621</v>
      </c>
      <c r="Q171" t="s">
        <v>39</v>
      </c>
      <c r="R171">
        <v>106586337</v>
      </c>
      <c r="S171" t="s">
        <v>5</v>
      </c>
      <c r="T171" t="s">
        <v>40</v>
      </c>
    </row>
    <row r="172" spans="2:20" x14ac:dyDescent="0.2">
      <c r="B172" t="s">
        <v>584</v>
      </c>
      <c r="C172" t="s">
        <v>53</v>
      </c>
      <c r="D172">
        <v>106570952</v>
      </c>
      <c r="E172" t="s">
        <v>5</v>
      </c>
      <c r="F172" t="s">
        <v>54</v>
      </c>
      <c r="P172" t="s">
        <v>621</v>
      </c>
      <c r="Q172" t="s">
        <v>318</v>
      </c>
      <c r="R172">
        <v>106607890</v>
      </c>
      <c r="S172" t="s">
        <v>5</v>
      </c>
      <c r="T172" t="s">
        <v>319</v>
      </c>
    </row>
    <row r="173" spans="2:20" x14ac:dyDescent="0.2">
      <c r="B173" t="s">
        <v>584</v>
      </c>
      <c r="C173" t="s">
        <v>326</v>
      </c>
      <c r="D173">
        <v>100196161</v>
      </c>
      <c r="E173" t="s">
        <v>5</v>
      </c>
      <c r="F173" t="s">
        <v>327</v>
      </c>
      <c r="P173" t="s">
        <v>621</v>
      </c>
      <c r="Q173" t="s">
        <v>43</v>
      </c>
      <c r="R173">
        <v>106580426</v>
      </c>
      <c r="S173" t="s">
        <v>5</v>
      </c>
      <c r="T173" t="s">
        <v>44</v>
      </c>
    </row>
    <row r="174" spans="2:20" x14ac:dyDescent="0.2">
      <c r="B174" t="s">
        <v>584</v>
      </c>
      <c r="C174" t="s">
        <v>332</v>
      </c>
      <c r="D174">
        <v>100196724</v>
      </c>
      <c r="E174" t="s">
        <v>5</v>
      </c>
      <c r="F174" t="s">
        <v>333</v>
      </c>
      <c r="P174" t="s">
        <v>621</v>
      </c>
      <c r="Q174" t="s">
        <v>328</v>
      </c>
      <c r="R174">
        <v>106583950</v>
      </c>
      <c r="S174" t="s">
        <v>5</v>
      </c>
      <c r="T174" t="s">
        <v>329</v>
      </c>
    </row>
    <row r="175" spans="2:20" x14ac:dyDescent="0.2">
      <c r="B175" t="s">
        <v>584</v>
      </c>
      <c r="C175" t="s">
        <v>55</v>
      </c>
      <c r="D175">
        <v>106587111</v>
      </c>
      <c r="E175" t="s">
        <v>5</v>
      </c>
      <c r="F175" t="s">
        <v>56</v>
      </c>
      <c r="P175" t="s">
        <v>621</v>
      </c>
      <c r="Q175" t="s">
        <v>330</v>
      </c>
      <c r="R175">
        <v>106579471</v>
      </c>
      <c r="S175" t="s">
        <v>5</v>
      </c>
      <c r="T175" t="s">
        <v>331</v>
      </c>
    </row>
    <row r="176" spans="2:20" x14ac:dyDescent="0.2">
      <c r="B176" t="s">
        <v>584</v>
      </c>
      <c r="C176" t="s">
        <v>334</v>
      </c>
      <c r="D176">
        <v>106594520</v>
      </c>
      <c r="E176" t="s">
        <v>5</v>
      </c>
      <c r="F176" t="s">
        <v>335</v>
      </c>
      <c r="P176" t="s">
        <v>621</v>
      </c>
      <c r="Q176" t="s">
        <v>336</v>
      </c>
      <c r="R176">
        <v>106571436</v>
      </c>
      <c r="S176" t="s">
        <v>5</v>
      </c>
      <c r="T176" t="s">
        <v>337</v>
      </c>
    </row>
    <row r="177" spans="2:20" x14ac:dyDescent="0.2">
      <c r="B177" t="s">
        <v>584</v>
      </c>
      <c r="C177" t="s">
        <v>338</v>
      </c>
      <c r="D177">
        <v>106577211</v>
      </c>
      <c r="E177" t="s">
        <v>5</v>
      </c>
      <c r="F177" t="s">
        <v>339</v>
      </c>
      <c r="P177" t="s">
        <v>621</v>
      </c>
      <c r="Q177" t="s">
        <v>599</v>
      </c>
      <c r="R177">
        <v>106566606</v>
      </c>
      <c r="S177" t="s">
        <v>5</v>
      </c>
      <c r="T177" t="s">
        <v>600</v>
      </c>
    </row>
    <row r="178" spans="2:20" x14ac:dyDescent="0.2">
      <c r="B178" t="s">
        <v>584</v>
      </c>
      <c r="C178" t="s">
        <v>340</v>
      </c>
      <c r="D178">
        <v>106596806</v>
      </c>
      <c r="E178" t="s">
        <v>5</v>
      </c>
      <c r="F178" t="s">
        <v>341</v>
      </c>
      <c r="P178" t="s">
        <v>621</v>
      </c>
      <c r="Q178" t="s">
        <v>342</v>
      </c>
      <c r="R178">
        <v>106577251</v>
      </c>
      <c r="S178" t="s">
        <v>5</v>
      </c>
      <c r="T178" t="s">
        <v>343</v>
      </c>
    </row>
    <row r="179" spans="2:20" x14ac:dyDescent="0.2">
      <c r="B179" t="s">
        <v>584</v>
      </c>
      <c r="C179" t="s">
        <v>57</v>
      </c>
      <c r="D179">
        <v>106566325</v>
      </c>
      <c r="E179" t="s">
        <v>5</v>
      </c>
      <c r="F179" t="s">
        <v>58</v>
      </c>
      <c r="P179" t="s">
        <v>621</v>
      </c>
      <c r="Q179" t="s">
        <v>601</v>
      </c>
      <c r="R179">
        <v>106600714</v>
      </c>
      <c r="S179" t="s">
        <v>5</v>
      </c>
      <c r="T179" t="s">
        <v>602</v>
      </c>
    </row>
    <row r="180" spans="2:20" x14ac:dyDescent="0.2">
      <c r="B180" t="s">
        <v>584</v>
      </c>
      <c r="C180" t="s">
        <v>344</v>
      </c>
      <c r="D180">
        <v>106573361</v>
      </c>
      <c r="E180" t="s">
        <v>5</v>
      </c>
      <c r="F180" t="s">
        <v>345</v>
      </c>
      <c r="P180" t="s">
        <v>621</v>
      </c>
      <c r="Q180" t="s">
        <v>354</v>
      </c>
      <c r="R180">
        <v>106565454</v>
      </c>
      <c r="S180" t="s">
        <v>5</v>
      </c>
      <c r="T180" t="s">
        <v>355</v>
      </c>
    </row>
    <row r="181" spans="2:20" x14ac:dyDescent="0.2">
      <c r="B181" t="s">
        <v>584</v>
      </c>
      <c r="C181" t="s">
        <v>346</v>
      </c>
      <c r="D181">
        <v>106578589</v>
      </c>
      <c r="E181" t="s">
        <v>5</v>
      </c>
      <c r="F181" t="s">
        <v>347</v>
      </c>
      <c r="P181" t="s">
        <v>621</v>
      </c>
      <c r="Q181" t="s">
        <v>603</v>
      </c>
      <c r="R181">
        <v>106576171</v>
      </c>
      <c r="S181" t="s">
        <v>5</v>
      </c>
      <c r="T181" t="s">
        <v>604</v>
      </c>
    </row>
    <row r="182" spans="2:20" x14ac:dyDescent="0.2">
      <c r="B182" t="s">
        <v>584</v>
      </c>
      <c r="C182" t="s">
        <v>348</v>
      </c>
      <c r="D182">
        <v>106609967</v>
      </c>
      <c r="E182" t="s">
        <v>5</v>
      </c>
      <c r="F182" t="s">
        <v>349</v>
      </c>
      <c r="P182" t="s">
        <v>621</v>
      </c>
      <c r="Q182" t="s">
        <v>366</v>
      </c>
      <c r="R182">
        <v>106569340</v>
      </c>
      <c r="S182" t="s">
        <v>5</v>
      </c>
      <c r="T182" t="s">
        <v>367</v>
      </c>
    </row>
    <row r="183" spans="2:20" x14ac:dyDescent="0.2">
      <c r="B183" t="s">
        <v>584</v>
      </c>
      <c r="C183" t="s">
        <v>350</v>
      </c>
      <c r="D183">
        <v>106572931</v>
      </c>
      <c r="E183" t="s">
        <v>5</v>
      </c>
      <c r="F183" t="s">
        <v>351</v>
      </c>
      <c r="P183" t="s">
        <v>621</v>
      </c>
      <c r="Q183" t="s">
        <v>368</v>
      </c>
      <c r="R183">
        <v>106612954</v>
      </c>
      <c r="S183" t="s">
        <v>5</v>
      </c>
      <c r="T183" t="s">
        <v>369</v>
      </c>
    </row>
    <row r="184" spans="2:20" x14ac:dyDescent="0.2">
      <c r="B184" t="s">
        <v>584</v>
      </c>
      <c r="C184" t="s">
        <v>59</v>
      </c>
      <c r="D184">
        <v>106581356</v>
      </c>
      <c r="E184" t="s">
        <v>5</v>
      </c>
      <c r="F184" t="s">
        <v>60</v>
      </c>
      <c r="P184" t="s">
        <v>621</v>
      </c>
      <c r="Q184" t="s">
        <v>372</v>
      </c>
      <c r="R184">
        <v>106589037</v>
      </c>
      <c r="S184" t="s">
        <v>5</v>
      </c>
      <c r="T184" t="s">
        <v>373</v>
      </c>
    </row>
    <row r="185" spans="2:20" x14ac:dyDescent="0.2">
      <c r="B185" t="s">
        <v>584</v>
      </c>
      <c r="C185" t="s">
        <v>352</v>
      </c>
      <c r="D185">
        <v>106592002</v>
      </c>
      <c r="E185" t="s">
        <v>5</v>
      </c>
      <c r="F185" t="s">
        <v>353</v>
      </c>
      <c r="P185" t="s">
        <v>621</v>
      </c>
      <c r="Q185" t="s">
        <v>73</v>
      </c>
      <c r="R185">
        <v>106590143</v>
      </c>
      <c r="S185" t="s">
        <v>5</v>
      </c>
      <c r="T185" t="s">
        <v>74</v>
      </c>
    </row>
    <row r="186" spans="2:20" x14ac:dyDescent="0.2">
      <c r="B186" t="s">
        <v>584</v>
      </c>
      <c r="C186" t="s">
        <v>356</v>
      </c>
      <c r="D186">
        <v>106602694</v>
      </c>
      <c r="E186" t="s">
        <v>5</v>
      </c>
      <c r="F186" t="s">
        <v>357</v>
      </c>
      <c r="P186" t="s">
        <v>621</v>
      </c>
      <c r="Q186" t="s">
        <v>75</v>
      </c>
      <c r="R186">
        <v>106603626</v>
      </c>
      <c r="S186" t="s">
        <v>5</v>
      </c>
      <c r="T186" t="s">
        <v>76</v>
      </c>
    </row>
    <row r="187" spans="2:20" x14ac:dyDescent="0.2">
      <c r="B187" t="s">
        <v>584</v>
      </c>
      <c r="C187" t="s">
        <v>63</v>
      </c>
      <c r="D187">
        <v>106582886</v>
      </c>
      <c r="E187" t="s">
        <v>5</v>
      </c>
      <c r="F187" t="s">
        <v>64</v>
      </c>
      <c r="P187" t="s">
        <v>621</v>
      </c>
      <c r="Q187" t="s">
        <v>382</v>
      </c>
      <c r="R187">
        <v>106607067</v>
      </c>
      <c r="S187" t="s">
        <v>5</v>
      </c>
      <c r="T187" t="s">
        <v>383</v>
      </c>
    </row>
    <row r="188" spans="2:20" x14ac:dyDescent="0.2">
      <c r="B188" t="s">
        <v>584</v>
      </c>
      <c r="C188" t="s">
        <v>65</v>
      </c>
      <c r="D188">
        <v>106608773</v>
      </c>
      <c r="E188" t="s">
        <v>5</v>
      </c>
      <c r="F188" t="s">
        <v>66</v>
      </c>
      <c r="P188" t="s">
        <v>621</v>
      </c>
      <c r="Q188" t="s">
        <v>79</v>
      </c>
      <c r="R188">
        <v>106567520</v>
      </c>
      <c r="S188" t="s">
        <v>5</v>
      </c>
      <c r="T188" t="s">
        <v>80</v>
      </c>
    </row>
    <row r="189" spans="2:20" x14ac:dyDescent="0.2">
      <c r="B189" t="s">
        <v>584</v>
      </c>
      <c r="C189" t="s">
        <v>360</v>
      </c>
      <c r="D189">
        <v>106567885</v>
      </c>
      <c r="E189" t="s">
        <v>5</v>
      </c>
      <c r="F189" t="s">
        <v>361</v>
      </c>
      <c r="P189" t="s">
        <v>621</v>
      </c>
      <c r="Q189" t="s">
        <v>605</v>
      </c>
      <c r="R189">
        <v>106608511</v>
      </c>
      <c r="S189" t="s">
        <v>5</v>
      </c>
      <c r="T189" t="s">
        <v>606</v>
      </c>
    </row>
    <row r="190" spans="2:20" x14ac:dyDescent="0.2">
      <c r="B190" t="s">
        <v>584</v>
      </c>
      <c r="C190" t="s">
        <v>362</v>
      </c>
      <c r="D190">
        <v>106610660</v>
      </c>
      <c r="E190" t="s">
        <v>5</v>
      </c>
      <c r="F190" t="s">
        <v>363</v>
      </c>
      <c r="P190" t="s">
        <v>621</v>
      </c>
      <c r="Q190" t="s">
        <v>384</v>
      </c>
      <c r="R190">
        <v>106560964</v>
      </c>
      <c r="S190" t="s">
        <v>5</v>
      </c>
      <c r="T190" t="s">
        <v>385</v>
      </c>
    </row>
    <row r="191" spans="2:20" x14ac:dyDescent="0.2">
      <c r="B191" t="s">
        <v>584</v>
      </c>
      <c r="C191" t="s">
        <v>560</v>
      </c>
      <c r="D191">
        <v>106580589</v>
      </c>
      <c r="E191" t="s">
        <v>5</v>
      </c>
      <c r="F191" t="s">
        <v>561</v>
      </c>
      <c r="P191" t="s">
        <v>621</v>
      </c>
      <c r="Q191" t="s">
        <v>83</v>
      </c>
      <c r="R191">
        <v>106574245</v>
      </c>
      <c r="S191" t="s">
        <v>5</v>
      </c>
      <c r="T191" t="s">
        <v>84</v>
      </c>
    </row>
    <row r="192" spans="2:20" x14ac:dyDescent="0.2">
      <c r="B192" t="s">
        <v>584</v>
      </c>
      <c r="C192" t="s">
        <v>364</v>
      </c>
      <c r="D192">
        <v>106587034</v>
      </c>
      <c r="E192" t="s">
        <v>5</v>
      </c>
      <c r="F192" t="s">
        <v>365</v>
      </c>
      <c r="P192" t="s">
        <v>621</v>
      </c>
      <c r="Q192" t="s">
        <v>85</v>
      </c>
      <c r="R192">
        <v>106606872</v>
      </c>
      <c r="S192" t="s">
        <v>5</v>
      </c>
      <c r="T192" t="s">
        <v>86</v>
      </c>
    </row>
    <row r="193" spans="2:20" x14ac:dyDescent="0.2">
      <c r="B193" t="s">
        <v>584</v>
      </c>
      <c r="C193" t="s">
        <v>67</v>
      </c>
      <c r="D193">
        <v>106605261</v>
      </c>
      <c r="E193" t="s">
        <v>5</v>
      </c>
      <c r="F193" t="s">
        <v>68</v>
      </c>
      <c r="P193" t="s">
        <v>621</v>
      </c>
      <c r="Q193" t="s">
        <v>388</v>
      </c>
      <c r="R193">
        <v>106584012</v>
      </c>
      <c r="S193" t="s">
        <v>5</v>
      </c>
      <c r="T193" t="s">
        <v>389</v>
      </c>
    </row>
    <row r="194" spans="2:20" x14ac:dyDescent="0.2">
      <c r="B194" t="s">
        <v>584</v>
      </c>
      <c r="C194" t="s">
        <v>69</v>
      </c>
      <c r="D194">
        <v>106563054</v>
      </c>
      <c r="E194" t="s">
        <v>5</v>
      </c>
      <c r="F194" t="s">
        <v>70</v>
      </c>
      <c r="P194" t="s">
        <v>621</v>
      </c>
      <c r="Q194" t="s">
        <v>87</v>
      </c>
      <c r="R194">
        <v>106613169</v>
      </c>
      <c r="S194" t="s">
        <v>5</v>
      </c>
      <c r="T194" t="s">
        <v>88</v>
      </c>
    </row>
    <row r="195" spans="2:20" x14ac:dyDescent="0.2">
      <c r="B195" t="s">
        <v>584</v>
      </c>
      <c r="C195" t="s">
        <v>370</v>
      </c>
      <c r="D195">
        <v>106578954</v>
      </c>
      <c r="E195" t="s">
        <v>5</v>
      </c>
      <c r="F195" t="s">
        <v>371</v>
      </c>
      <c r="P195" t="s">
        <v>621</v>
      </c>
      <c r="Q195" t="s">
        <v>390</v>
      </c>
      <c r="R195">
        <v>106613172</v>
      </c>
      <c r="S195" t="s">
        <v>5</v>
      </c>
      <c r="T195" t="s">
        <v>391</v>
      </c>
    </row>
    <row r="196" spans="2:20" x14ac:dyDescent="0.2">
      <c r="B196" t="s">
        <v>584</v>
      </c>
      <c r="C196" t="s">
        <v>71</v>
      </c>
      <c r="D196">
        <v>106610734</v>
      </c>
      <c r="E196" t="s">
        <v>5</v>
      </c>
      <c r="F196" t="s">
        <v>72</v>
      </c>
      <c r="P196" t="s">
        <v>621</v>
      </c>
      <c r="Q196" t="s">
        <v>89</v>
      </c>
      <c r="R196">
        <v>106612640</v>
      </c>
      <c r="S196" t="s">
        <v>5</v>
      </c>
      <c r="T196" t="s">
        <v>90</v>
      </c>
    </row>
    <row r="197" spans="2:20" x14ac:dyDescent="0.2">
      <c r="B197" t="s">
        <v>584</v>
      </c>
      <c r="C197" t="s">
        <v>374</v>
      </c>
      <c r="D197">
        <v>106603593</v>
      </c>
      <c r="E197" t="s">
        <v>5</v>
      </c>
      <c r="F197" t="s">
        <v>375</v>
      </c>
      <c r="P197" t="s">
        <v>621</v>
      </c>
      <c r="Q197" t="s">
        <v>91</v>
      </c>
      <c r="R197">
        <v>106607369</v>
      </c>
      <c r="S197" t="s">
        <v>5</v>
      </c>
      <c r="T197" t="s">
        <v>92</v>
      </c>
    </row>
    <row r="198" spans="2:20" x14ac:dyDescent="0.2">
      <c r="B198" t="s">
        <v>584</v>
      </c>
      <c r="C198" t="s">
        <v>376</v>
      </c>
      <c r="D198">
        <v>100380750</v>
      </c>
      <c r="E198" t="s">
        <v>5</v>
      </c>
      <c r="F198" t="s">
        <v>377</v>
      </c>
      <c r="P198" t="s">
        <v>621</v>
      </c>
      <c r="Q198" t="s">
        <v>396</v>
      </c>
      <c r="R198">
        <v>106564882</v>
      </c>
      <c r="S198" t="s">
        <v>5</v>
      </c>
      <c r="T198" t="s">
        <v>397</v>
      </c>
    </row>
    <row r="199" spans="2:20" x14ac:dyDescent="0.2">
      <c r="B199" t="s">
        <v>584</v>
      </c>
      <c r="C199" t="s">
        <v>378</v>
      </c>
      <c r="D199">
        <v>106568674</v>
      </c>
      <c r="E199" t="s">
        <v>5</v>
      </c>
      <c r="F199" t="s">
        <v>379</v>
      </c>
      <c r="P199" t="s">
        <v>621</v>
      </c>
      <c r="Q199" t="s">
        <v>93</v>
      </c>
      <c r="R199">
        <v>106590380</v>
      </c>
      <c r="S199" t="s">
        <v>5</v>
      </c>
      <c r="T199" t="s">
        <v>94</v>
      </c>
    </row>
    <row r="200" spans="2:20" x14ac:dyDescent="0.2">
      <c r="B200" t="s">
        <v>584</v>
      </c>
      <c r="C200" t="s">
        <v>380</v>
      </c>
      <c r="D200">
        <v>100194533</v>
      </c>
      <c r="E200" t="s">
        <v>5</v>
      </c>
      <c r="F200" t="s">
        <v>381</v>
      </c>
      <c r="P200" t="s">
        <v>621</v>
      </c>
      <c r="Q200" t="s">
        <v>398</v>
      </c>
      <c r="R200">
        <v>106573620</v>
      </c>
      <c r="S200" t="s">
        <v>5</v>
      </c>
      <c r="T200" t="s">
        <v>399</v>
      </c>
    </row>
    <row r="201" spans="2:20" x14ac:dyDescent="0.2">
      <c r="B201" t="s">
        <v>584</v>
      </c>
      <c r="C201" t="s">
        <v>77</v>
      </c>
      <c r="D201">
        <v>106600405</v>
      </c>
      <c r="E201" t="s">
        <v>5</v>
      </c>
      <c r="F201" t="s">
        <v>78</v>
      </c>
      <c r="P201" t="s">
        <v>621</v>
      </c>
      <c r="Q201" t="s">
        <v>400</v>
      </c>
      <c r="R201">
        <v>106581359</v>
      </c>
      <c r="S201" t="s">
        <v>5</v>
      </c>
      <c r="T201" t="s">
        <v>401</v>
      </c>
    </row>
    <row r="202" spans="2:20" x14ac:dyDescent="0.2">
      <c r="B202" t="s">
        <v>584</v>
      </c>
      <c r="C202" t="s">
        <v>81</v>
      </c>
      <c r="D202">
        <v>106583123</v>
      </c>
      <c r="E202" t="s">
        <v>5</v>
      </c>
      <c r="F202" t="s">
        <v>82</v>
      </c>
      <c r="P202" t="s">
        <v>621</v>
      </c>
      <c r="Q202" t="s">
        <v>404</v>
      </c>
      <c r="R202">
        <v>106581418</v>
      </c>
      <c r="S202" t="s">
        <v>5</v>
      </c>
      <c r="T202" t="s">
        <v>405</v>
      </c>
    </row>
    <row r="203" spans="2:20" x14ac:dyDescent="0.2">
      <c r="B203" t="s">
        <v>584</v>
      </c>
      <c r="C203" t="s">
        <v>386</v>
      </c>
      <c r="D203">
        <v>106560227</v>
      </c>
      <c r="E203" t="s">
        <v>5</v>
      </c>
      <c r="F203" t="s">
        <v>387</v>
      </c>
      <c r="P203" t="s">
        <v>621</v>
      </c>
      <c r="Q203" t="s">
        <v>406</v>
      </c>
      <c r="R203">
        <v>106589689</v>
      </c>
      <c r="S203" t="s">
        <v>5</v>
      </c>
      <c r="T203" t="s">
        <v>407</v>
      </c>
    </row>
    <row r="204" spans="2:20" x14ac:dyDescent="0.2">
      <c r="B204" t="s">
        <v>584</v>
      </c>
      <c r="C204" t="s">
        <v>562</v>
      </c>
      <c r="D204">
        <v>106578264</v>
      </c>
      <c r="E204" t="s">
        <v>5</v>
      </c>
      <c r="F204" t="s">
        <v>563</v>
      </c>
      <c r="P204" t="s">
        <v>621</v>
      </c>
      <c r="Q204" t="s">
        <v>607</v>
      </c>
      <c r="R204">
        <v>106578258</v>
      </c>
      <c r="S204" t="s">
        <v>5</v>
      </c>
      <c r="T204" t="s">
        <v>608</v>
      </c>
    </row>
    <row r="205" spans="2:20" x14ac:dyDescent="0.2">
      <c r="B205" t="s">
        <v>584</v>
      </c>
      <c r="C205" t="s">
        <v>392</v>
      </c>
      <c r="D205">
        <v>106585258</v>
      </c>
      <c r="E205" t="s">
        <v>5</v>
      </c>
      <c r="F205" t="s">
        <v>393</v>
      </c>
      <c r="P205" t="s">
        <v>621</v>
      </c>
      <c r="Q205" t="s">
        <v>109</v>
      </c>
      <c r="R205">
        <v>106573635</v>
      </c>
      <c r="S205" t="s">
        <v>5</v>
      </c>
      <c r="T205" t="s">
        <v>110</v>
      </c>
    </row>
    <row r="206" spans="2:20" x14ac:dyDescent="0.2">
      <c r="B206" t="s">
        <v>584</v>
      </c>
      <c r="C206" t="s">
        <v>394</v>
      </c>
      <c r="D206">
        <v>106575154</v>
      </c>
      <c r="E206" t="s">
        <v>5</v>
      </c>
      <c r="F206" t="s">
        <v>395</v>
      </c>
      <c r="P206" t="s">
        <v>621</v>
      </c>
      <c r="Q206" t="s">
        <v>408</v>
      </c>
      <c r="R206">
        <v>106561138</v>
      </c>
      <c r="S206" t="s">
        <v>5</v>
      </c>
      <c r="T206" t="s">
        <v>409</v>
      </c>
    </row>
    <row r="207" spans="2:20" x14ac:dyDescent="0.2">
      <c r="B207" t="s">
        <v>584</v>
      </c>
      <c r="C207" t="s">
        <v>95</v>
      </c>
      <c r="D207">
        <v>100136392</v>
      </c>
      <c r="E207" t="s">
        <v>5</v>
      </c>
      <c r="F207" t="s">
        <v>96</v>
      </c>
      <c r="P207" t="s">
        <v>621</v>
      </c>
      <c r="Q207" t="s">
        <v>410</v>
      </c>
      <c r="R207">
        <v>106578482</v>
      </c>
      <c r="S207" t="s">
        <v>5</v>
      </c>
      <c r="T207" t="s">
        <v>411</v>
      </c>
    </row>
    <row r="208" spans="2:20" x14ac:dyDescent="0.2">
      <c r="B208" t="s">
        <v>584</v>
      </c>
      <c r="C208" t="s">
        <v>97</v>
      </c>
      <c r="D208">
        <v>106581221</v>
      </c>
      <c r="E208" t="s">
        <v>5</v>
      </c>
      <c r="F208" t="s">
        <v>98</v>
      </c>
      <c r="P208" t="s">
        <v>621</v>
      </c>
      <c r="Q208" t="s">
        <v>113</v>
      </c>
      <c r="R208">
        <v>106570052</v>
      </c>
      <c r="S208" t="s">
        <v>5</v>
      </c>
      <c r="T208" t="s">
        <v>114</v>
      </c>
    </row>
    <row r="209" spans="2:20" x14ac:dyDescent="0.2">
      <c r="B209" t="s">
        <v>584</v>
      </c>
      <c r="C209" t="s">
        <v>99</v>
      </c>
      <c r="D209">
        <v>106584208</v>
      </c>
      <c r="E209" t="s">
        <v>5</v>
      </c>
      <c r="F209" t="s">
        <v>100</v>
      </c>
      <c r="P209" t="s">
        <v>621</v>
      </c>
      <c r="Q209" t="s">
        <v>115</v>
      </c>
      <c r="R209">
        <v>106568949</v>
      </c>
      <c r="S209" t="s">
        <v>5</v>
      </c>
      <c r="T209" t="s">
        <v>116</v>
      </c>
    </row>
    <row r="210" spans="2:20" x14ac:dyDescent="0.2">
      <c r="B210" t="s">
        <v>584</v>
      </c>
      <c r="C210" t="s">
        <v>402</v>
      </c>
      <c r="D210">
        <v>106605527</v>
      </c>
      <c r="E210" t="s">
        <v>5</v>
      </c>
      <c r="F210" t="s">
        <v>403</v>
      </c>
      <c r="P210" t="s">
        <v>621</v>
      </c>
      <c r="Q210" t="s">
        <v>416</v>
      </c>
      <c r="R210">
        <v>106573900</v>
      </c>
      <c r="S210" t="s">
        <v>5</v>
      </c>
      <c r="T210" t="s">
        <v>417</v>
      </c>
    </row>
    <row r="211" spans="2:20" x14ac:dyDescent="0.2">
      <c r="B211" t="s">
        <v>584</v>
      </c>
      <c r="C211" t="s">
        <v>101</v>
      </c>
      <c r="D211">
        <v>106575188</v>
      </c>
      <c r="E211" t="s">
        <v>5</v>
      </c>
      <c r="F211" t="s">
        <v>102</v>
      </c>
      <c r="P211" t="s">
        <v>621</v>
      </c>
      <c r="Q211" t="s">
        <v>418</v>
      </c>
      <c r="R211">
        <v>106590479</v>
      </c>
      <c r="S211" t="s">
        <v>5</v>
      </c>
      <c r="T211" t="s">
        <v>419</v>
      </c>
    </row>
    <row r="212" spans="2:20" x14ac:dyDescent="0.2">
      <c r="B212" t="s">
        <v>584</v>
      </c>
      <c r="C212" t="s">
        <v>105</v>
      </c>
      <c r="D212">
        <v>106572388</v>
      </c>
      <c r="E212" t="s">
        <v>5</v>
      </c>
      <c r="F212" t="s">
        <v>106</v>
      </c>
      <c r="P212" t="s">
        <v>621</v>
      </c>
      <c r="Q212" t="s">
        <v>121</v>
      </c>
      <c r="R212">
        <v>100195739</v>
      </c>
      <c r="S212" t="s">
        <v>5</v>
      </c>
      <c r="T212" t="s">
        <v>122</v>
      </c>
    </row>
    <row r="213" spans="2:20" x14ac:dyDescent="0.2">
      <c r="B213" t="s">
        <v>584</v>
      </c>
      <c r="C213" t="s">
        <v>107</v>
      </c>
      <c r="D213">
        <v>106585238</v>
      </c>
      <c r="E213" t="s">
        <v>5</v>
      </c>
      <c r="F213" t="s">
        <v>108</v>
      </c>
      <c r="P213" t="s">
        <v>621</v>
      </c>
      <c r="Q213" t="s">
        <v>422</v>
      </c>
      <c r="R213">
        <v>106588785</v>
      </c>
      <c r="S213" t="s">
        <v>5</v>
      </c>
      <c r="T213" t="s">
        <v>423</v>
      </c>
    </row>
    <row r="214" spans="2:20" x14ac:dyDescent="0.2">
      <c r="B214" t="s">
        <v>584</v>
      </c>
      <c r="C214" t="s">
        <v>564</v>
      </c>
      <c r="D214">
        <v>106569341</v>
      </c>
      <c r="E214" t="s">
        <v>5</v>
      </c>
      <c r="F214" t="s">
        <v>565</v>
      </c>
      <c r="P214" t="s">
        <v>621</v>
      </c>
      <c r="Q214" t="s">
        <v>424</v>
      </c>
      <c r="R214">
        <v>106568170</v>
      </c>
      <c r="S214" t="s">
        <v>5</v>
      </c>
      <c r="T214" t="s">
        <v>425</v>
      </c>
    </row>
    <row r="215" spans="2:20" x14ac:dyDescent="0.2">
      <c r="B215" t="s">
        <v>584</v>
      </c>
      <c r="C215" t="s">
        <v>111</v>
      </c>
      <c r="D215">
        <v>106608120</v>
      </c>
      <c r="E215" t="s">
        <v>5</v>
      </c>
      <c r="F215" t="s">
        <v>112</v>
      </c>
      <c r="P215" t="s">
        <v>621</v>
      </c>
      <c r="Q215" t="s">
        <v>125</v>
      </c>
      <c r="R215">
        <v>106582120</v>
      </c>
      <c r="S215" t="s">
        <v>5</v>
      </c>
      <c r="T215" t="s">
        <v>126</v>
      </c>
    </row>
    <row r="216" spans="2:20" x14ac:dyDescent="0.2">
      <c r="B216" t="s">
        <v>584</v>
      </c>
      <c r="C216" t="s">
        <v>566</v>
      </c>
      <c r="D216">
        <v>100136458</v>
      </c>
      <c r="E216" t="s">
        <v>5</v>
      </c>
      <c r="F216" t="s">
        <v>567</v>
      </c>
      <c r="P216" t="s">
        <v>621</v>
      </c>
      <c r="Q216" t="s">
        <v>127</v>
      </c>
      <c r="R216">
        <v>106608398</v>
      </c>
      <c r="S216" t="s">
        <v>5</v>
      </c>
      <c r="T216" t="s">
        <v>128</v>
      </c>
    </row>
    <row r="217" spans="2:20" x14ac:dyDescent="0.2">
      <c r="B217" t="s">
        <v>584</v>
      </c>
      <c r="C217" t="s">
        <v>117</v>
      </c>
      <c r="D217">
        <v>106581334</v>
      </c>
      <c r="E217" t="s">
        <v>5</v>
      </c>
      <c r="F217" t="s">
        <v>118</v>
      </c>
      <c r="P217" t="s">
        <v>621</v>
      </c>
      <c r="Q217" t="s">
        <v>432</v>
      </c>
      <c r="R217">
        <v>106567964</v>
      </c>
      <c r="S217" t="s">
        <v>5</v>
      </c>
      <c r="T217" t="s">
        <v>433</v>
      </c>
    </row>
    <row r="218" spans="2:20" x14ac:dyDescent="0.2">
      <c r="B218" t="s">
        <v>584</v>
      </c>
      <c r="C218" t="s">
        <v>414</v>
      </c>
      <c r="D218">
        <v>106579219</v>
      </c>
      <c r="E218" t="s">
        <v>5</v>
      </c>
      <c r="F218" t="s">
        <v>415</v>
      </c>
      <c r="P218" t="s">
        <v>621</v>
      </c>
      <c r="Q218" t="s">
        <v>436</v>
      </c>
      <c r="R218">
        <v>106575510</v>
      </c>
      <c r="S218" t="s">
        <v>5</v>
      </c>
      <c r="T218" t="s">
        <v>437</v>
      </c>
    </row>
    <row r="219" spans="2:20" x14ac:dyDescent="0.2">
      <c r="B219" t="s">
        <v>584</v>
      </c>
      <c r="C219" t="s">
        <v>119</v>
      </c>
      <c r="D219">
        <v>106567255</v>
      </c>
      <c r="E219" t="s">
        <v>5</v>
      </c>
      <c r="F219" t="s">
        <v>120</v>
      </c>
      <c r="P219" t="s">
        <v>621</v>
      </c>
      <c r="Q219" t="s">
        <v>438</v>
      </c>
      <c r="R219">
        <v>106563018</v>
      </c>
      <c r="S219" t="s">
        <v>5</v>
      </c>
      <c r="T219" t="s">
        <v>439</v>
      </c>
    </row>
    <row r="220" spans="2:20" x14ac:dyDescent="0.2">
      <c r="B220" t="s">
        <v>584</v>
      </c>
      <c r="C220" t="s">
        <v>420</v>
      </c>
      <c r="D220">
        <v>106566835</v>
      </c>
      <c r="E220" t="s">
        <v>5</v>
      </c>
      <c r="F220" t="s">
        <v>421</v>
      </c>
      <c r="P220" t="s">
        <v>621</v>
      </c>
      <c r="Q220" t="s">
        <v>135</v>
      </c>
      <c r="R220">
        <v>106586650</v>
      </c>
      <c r="S220" t="s">
        <v>5</v>
      </c>
      <c r="T220" t="s">
        <v>136</v>
      </c>
    </row>
    <row r="221" spans="2:20" x14ac:dyDescent="0.2">
      <c r="B221" t="s">
        <v>584</v>
      </c>
      <c r="C221" t="s">
        <v>568</v>
      </c>
      <c r="D221">
        <v>106581837</v>
      </c>
      <c r="E221" t="s">
        <v>5</v>
      </c>
      <c r="F221" t="s">
        <v>569</v>
      </c>
      <c r="P221" t="s">
        <v>621</v>
      </c>
      <c r="Q221" t="s">
        <v>444</v>
      </c>
      <c r="R221">
        <v>100286678</v>
      </c>
      <c r="S221" t="s">
        <v>5</v>
      </c>
      <c r="T221" t="s">
        <v>445</v>
      </c>
    </row>
    <row r="222" spans="2:20" x14ac:dyDescent="0.2">
      <c r="B222" t="s">
        <v>584</v>
      </c>
      <c r="C222" t="s">
        <v>123</v>
      </c>
      <c r="D222">
        <v>106613635</v>
      </c>
      <c r="E222" t="s">
        <v>5</v>
      </c>
      <c r="F222" t="s">
        <v>124</v>
      </c>
      <c r="P222" t="s">
        <v>621</v>
      </c>
      <c r="Q222" t="s">
        <v>609</v>
      </c>
      <c r="R222">
        <v>106567053</v>
      </c>
      <c r="S222" t="s">
        <v>5</v>
      </c>
      <c r="T222" t="s">
        <v>610</v>
      </c>
    </row>
    <row r="223" spans="2:20" x14ac:dyDescent="0.2">
      <c r="B223" t="s">
        <v>584</v>
      </c>
      <c r="C223" t="s">
        <v>426</v>
      </c>
      <c r="D223">
        <v>100380437</v>
      </c>
      <c r="E223" t="s">
        <v>5</v>
      </c>
      <c r="F223" t="s">
        <v>427</v>
      </c>
      <c r="P223" t="s">
        <v>621</v>
      </c>
      <c r="Q223" t="s">
        <v>139</v>
      </c>
      <c r="R223">
        <v>100136517</v>
      </c>
      <c r="S223" t="s">
        <v>5</v>
      </c>
      <c r="T223" t="s">
        <v>140</v>
      </c>
    </row>
    <row r="224" spans="2:20" x14ac:dyDescent="0.2">
      <c r="B224" t="s">
        <v>584</v>
      </c>
      <c r="C224" t="s">
        <v>428</v>
      </c>
      <c r="D224">
        <v>106564869</v>
      </c>
      <c r="E224" t="s">
        <v>5</v>
      </c>
      <c r="F224" t="s">
        <v>429</v>
      </c>
      <c r="P224" t="s">
        <v>621</v>
      </c>
      <c r="Q224" t="s">
        <v>145</v>
      </c>
      <c r="R224">
        <v>100306767</v>
      </c>
      <c r="S224" t="s">
        <v>5</v>
      </c>
      <c r="T224" t="s">
        <v>146</v>
      </c>
    </row>
    <row r="225" spans="2:20" x14ac:dyDescent="0.2">
      <c r="B225" t="s">
        <v>584</v>
      </c>
      <c r="C225" t="s">
        <v>430</v>
      </c>
      <c r="D225">
        <v>100380867</v>
      </c>
      <c r="E225" t="s">
        <v>5</v>
      </c>
      <c r="F225" t="s">
        <v>431</v>
      </c>
      <c r="P225" t="s">
        <v>621</v>
      </c>
      <c r="Q225" t="s">
        <v>147</v>
      </c>
      <c r="R225">
        <v>100195278</v>
      </c>
      <c r="S225" t="s">
        <v>5</v>
      </c>
      <c r="T225" t="s">
        <v>148</v>
      </c>
    </row>
    <row r="226" spans="2:20" x14ac:dyDescent="0.2">
      <c r="B226" t="s">
        <v>584</v>
      </c>
      <c r="C226" t="s">
        <v>129</v>
      </c>
      <c r="D226">
        <v>106613775</v>
      </c>
      <c r="E226" t="s">
        <v>5</v>
      </c>
      <c r="F226" t="s">
        <v>130</v>
      </c>
      <c r="P226" t="s">
        <v>621</v>
      </c>
      <c r="Q226" t="s">
        <v>149</v>
      </c>
      <c r="R226">
        <v>106584071</v>
      </c>
      <c r="S226" t="s">
        <v>5</v>
      </c>
      <c r="T226" t="s">
        <v>150</v>
      </c>
    </row>
    <row r="227" spans="2:20" x14ac:dyDescent="0.2">
      <c r="B227" t="s">
        <v>584</v>
      </c>
      <c r="C227" t="s">
        <v>434</v>
      </c>
      <c r="D227">
        <v>106568168</v>
      </c>
      <c r="E227" t="s">
        <v>5</v>
      </c>
      <c r="F227" t="s">
        <v>435</v>
      </c>
      <c r="P227" t="s">
        <v>621</v>
      </c>
      <c r="Q227" t="s">
        <v>450</v>
      </c>
      <c r="R227">
        <v>100195178</v>
      </c>
      <c r="S227" t="s">
        <v>5</v>
      </c>
      <c r="T227" t="s">
        <v>451</v>
      </c>
    </row>
    <row r="228" spans="2:20" x14ac:dyDescent="0.2">
      <c r="B228" t="s">
        <v>584</v>
      </c>
      <c r="C228" t="s">
        <v>131</v>
      </c>
      <c r="D228">
        <v>106563815</v>
      </c>
      <c r="E228" t="s">
        <v>5</v>
      </c>
      <c r="F228" t="s">
        <v>132</v>
      </c>
      <c r="P228" t="s">
        <v>621</v>
      </c>
      <c r="Q228" t="s">
        <v>611</v>
      </c>
      <c r="R228">
        <v>106612044</v>
      </c>
      <c r="S228" t="s">
        <v>5</v>
      </c>
      <c r="T228" t="s">
        <v>612</v>
      </c>
    </row>
    <row r="229" spans="2:20" x14ac:dyDescent="0.2">
      <c r="B229" t="s">
        <v>584</v>
      </c>
      <c r="C229" t="s">
        <v>133</v>
      </c>
      <c r="D229">
        <v>106585162</v>
      </c>
      <c r="E229" t="s">
        <v>5</v>
      </c>
      <c r="F229" t="s">
        <v>134</v>
      </c>
      <c r="P229" t="s">
        <v>621</v>
      </c>
      <c r="Q229" t="s">
        <v>159</v>
      </c>
      <c r="R229">
        <v>106583597</v>
      </c>
      <c r="S229" t="s">
        <v>5</v>
      </c>
      <c r="T229" t="s">
        <v>160</v>
      </c>
    </row>
    <row r="230" spans="2:20" x14ac:dyDescent="0.2">
      <c r="B230" t="s">
        <v>584</v>
      </c>
      <c r="C230" t="s">
        <v>440</v>
      </c>
      <c r="D230">
        <v>106588110</v>
      </c>
      <c r="E230" t="s">
        <v>5</v>
      </c>
      <c r="F230" t="s">
        <v>441</v>
      </c>
      <c r="P230" t="s">
        <v>621</v>
      </c>
      <c r="Q230" t="s">
        <v>458</v>
      </c>
      <c r="R230">
        <v>106579904</v>
      </c>
      <c r="S230" t="s">
        <v>5</v>
      </c>
      <c r="T230" t="s">
        <v>459</v>
      </c>
    </row>
    <row r="231" spans="2:20" x14ac:dyDescent="0.2">
      <c r="B231" t="s">
        <v>584</v>
      </c>
      <c r="C231" t="s">
        <v>442</v>
      </c>
      <c r="D231">
        <v>106599872</v>
      </c>
      <c r="E231" t="s">
        <v>5</v>
      </c>
      <c r="F231" t="s">
        <v>443</v>
      </c>
      <c r="P231" t="s">
        <v>621</v>
      </c>
      <c r="Q231" t="s">
        <v>161</v>
      </c>
      <c r="R231">
        <v>106567387</v>
      </c>
      <c r="S231" t="s">
        <v>5</v>
      </c>
      <c r="T231" t="s">
        <v>162</v>
      </c>
    </row>
    <row r="232" spans="2:20" x14ac:dyDescent="0.2">
      <c r="B232" t="s">
        <v>584</v>
      </c>
      <c r="C232" t="s">
        <v>137</v>
      </c>
      <c r="D232">
        <v>106577009</v>
      </c>
      <c r="E232" t="s">
        <v>5</v>
      </c>
      <c r="F232" t="s">
        <v>138</v>
      </c>
      <c r="P232" t="s">
        <v>621</v>
      </c>
      <c r="Q232" t="s">
        <v>613</v>
      </c>
      <c r="R232">
        <v>106566524</v>
      </c>
      <c r="S232" t="s">
        <v>5</v>
      </c>
      <c r="T232" t="s">
        <v>614</v>
      </c>
    </row>
    <row r="233" spans="2:20" x14ac:dyDescent="0.2">
      <c r="B233" t="s">
        <v>584</v>
      </c>
      <c r="C233" t="s">
        <v>446</v>
      </c>
      <c r="D233">
        <v>106585772</v>
      </c>
      <c r="E233" t="s">
        <v>5</v>
      </c>
      <c r="F233" t="s">
        <v>447</v>
      </c>
      <c r="P233" t="s">
        <v>621</v>
      </c>
      <c r="Q233" t="s">
        <v>163</v>
      </c>
      <c r="R233">
        <v>106560933</v>
      </c>
      <c r="S233" t="s">
        <v>5</v>
      </c>
      <c r="T233" t="s">
        <v>164</v>
      </c>
    </row>
    <row r="234" spans="2:20" x14ac:dyDescent="0.2">
      <c r="B234" t="s">
        <v>584</v>
      </c>
      <c r="C234" t="s">
        <v>448</v>
      </c>
      <c r="D234">
        <v>106573605</v>
      </c>
      <c r="E234" t="s">
        <v>5</v>
      </c>
      <c r="F234" t="s">
        <v>449</v>
      </c>
      <c r="P234" t="s">
        <v>621</v>
      </c>
      <c r="Q234" t="s">
        <v>165</v>
      </c>
      <c r="R234">
        <v>106603540</v>
      </c>
      <c r="S234" t="s">
        <v>5</v>
      </c>
      <c r="T234" t="s">
        <v>166</v>
      </c>
    </row>
    <row r="235" spans="2:20" x14ac:dyDescent="0.2">
      <c r="B235" t="s">
        <v>584</v>
      </c>
      <c r="C235" t="s">
        <v>570</v>
      </c>
      <c r="D235">
        <v>106561551</v>
      </c>
      <c r="E235" t="s">
        <v>5</v>
      </c>
      <c r="F235" t="s">
        <v>571</v>
      </c>
      <c r="P235" t="s">
        <v>621</v>
      </c>
      <c r="Q235" t="s">
        <v>167</v>
      </c>
      <c r="R235">
        <v>100194499</v>
      </c>
      <c r="S235" t="s">
        <v>5</v>
      </c>
      <c r="T235" t="s">
        <v>168</v>
      </c>
    </row>
    <row r="236" spans="2:20" x14ac:dyDescent="0.2">
      <c r="B236" t="s">
        <v>584</v>
      </c>
      <c r="C236" t="s">
        <v>151</v>
      </c>
      <c r="D236">
        <v>100380343</v>
      </c>
      <c r="E236" t="s">
        <v>5</v>
      </c>
      <c r="F236" t="s">
        <v>152</v>
      </c>
      <c r="P236" t="s">
        <v>621</v>
      </c>
      <c r="Q236" t="s">
        <v>171</v>
      </c>
      <c r="R236">
        <v>106582740</v>
      </c>
      <c r="S236" t="s">
        <v>5</v>
      </c>
      <c r="T236" t="s">
        <v>172</v>
      </c>
    </row>
    <row r="237" spans="2:20" x14ac:dyDescent="0.2">
      <c r="B237" t="s">
        <v>584</v>
      </c>
      <c r="C237" t="s">
        <v>153</v>
      </c>
      <c r="D237">
        <v>106601599</v>
      </c>
      <c r="E237" t="s">
        <v>5</v>
      </c>
      <c r="F237" t="s">
        <v>154</v>
      </c>
      <c r="P237" t="s">
        <v>621</v>
      </c>
      <c r="Q237" t="s">
        <v>173</v>
      </c>
      <c r="R237">
        <v>106601035</v>
      </c>
      <c r="S237" t="s">
        <v>5</v>
      </c>
      <c r="T237" t="s">
        <v>174</v>
      </c>
    </row>
    <row r="238" spans="2:20" x14ac:dyDescent="0.2">
      <c r="B238" t="s">
        <v>584</v>
      </c>
      <c r="C238" t="s">
        <v>452</v>
      </c>
      <c r="D238">
        <v>106611443</v>
      </c>
      <c r="E238" t="s">
        <v>5</v>
      </c>
      <c r="F238" t="s">
        <v>453</v>
      </c>
      <c r="P238" t="s">
        <v>621</v>
      </c>
      <c r="Q238" t="s">
        <v>466</v>
      </c>
      <c r="R238">
        <v>106561428</v>
      </c>
      <c r="S238" t="s">
        <v>5</v>
      </c>
      <c r="T238" t="s">
        <v>467</v>
      </c>
    </row>
    <row r="239" spans="2:20" x14ac:dyDescent="0.2">
      <c r="B239" t="s">
        <v>584</v>
      </c>
      <c r="C239" t="s">
        <v>155</v>
      </c>
      <c r="D239">
        <v>106575554</v>
      </c>
      <c r="E239" t="s">
        <v>5</v>
      </c>
      <c r="F239" t="s">
        <v>156</v>
      </c>
      <c r="P239" t="s">
        <v>621</v>
      </c>
      <c r="Q239" t="s">
        <v>468</v>
      </c>
      <c r="R239">
        <v>106567700</v>
      </c>
      <c r="S239" t="s">
        <v>5</v>
      </c>
      <c r="T239" t="s">
        <v>469</v>
      </c>
    </row>
    <row r="240" spans="2:20" x14ac:dyDescent="0.2">
      <c r="B240" t="s">
        <v>584</v>
      </c>
      <c r="C240" t="s">
        <v>454</v>
      </c>
      <c r="D240">
        <v>100194974</v>
      </c>
      <c r="E240" t="s">
        <v>5</v>
      </c>
      <c r="F240" t="s">
        <v>455</v>
      </c>
      <c r="P240" t="s">
        <v>621</v>
      </c>
      <c r="Q240" t="s">
        <v>470</v>
      </c>
      <c r="R240">
        <v>100194605</v>
      </c>
      <c r="S240" t="s">
        <v>5</v>
      </c>
      <c r="T240" t="s">
        <v>471</v>
      </c>
    </row>
    <row r="241" spans="2:20" x14ac:dyDescent="0.2">
      <c r="B241" t="s">
        <v>584</v>
      </c>
      <c r="C241" t="s">
        <v>157</v>
      </c>
      <c r="D241">
        <v>106603747</v>
      </c>
      <c r="E241" t="s">
        <v>5</v>
      </c>
      <c r="F241" t="s">
        <v>158</v>
      </c>
      <c r="P241" t="s">
        <v>621</v>
      </c>
      <c r="Q241" t="s">
        <v>185</v>
      </c>
      <c r="R241">
        <v>106577635</v>
      </c>
      <c r="S241" t="s">
        <v>5</v>
      </c>
      <c r="T241" t="s">
        <v>186</v>
      </c>
    </row>
    <row r="242" spans="2:20" x14ac:dyDescent="0.2">
      <c r="B242" t="s">
        <v>584</v>
      </c>
      <c r="C242" t="s">
        <v>456</v>
      </c>
      <c r="D242">
        <v>106603161</v>
      </c>
      <c r="E242" t="s">
        <v>5</v>
      </c>
      <c r="F242" t="s">
        <v>457</v>
      </c>
      <c r="P242" t="s">
        <v>621</v>
      </c>
      <c r="Q242" t="s">
        <v>615</v>
      </c>
      <c r="R242">
        <v>106566047</v>
      </c>
      <c r="S242" t="s">
        <v>5</v>
      </c>
      <c r="T242" t="s">
        <v>616</v>
      </c>
    </row>
    <row r="243" spans="2:20" x14ac:dyDescent="0.2">
      <c r="B243" t="s">
        <v>584</v>
      </c>
      <c r="C243" t="s">
        <v>460</v>
      </c>
      <c r="D243">
        <v>106566794</v>
      </c>
      <c r="E243" t="s">
        <v>5</v>
      </c>
      <c r="F243" t="s">
        <v>461</v>
      </c>
      <c r="P243" t="s">
        <v>621</v>
      </c>
      <c r="Q243" t="s">
        <v>474</v>
      </c>
      <c r="R243">
        <v>106574923</v>
      </c>
      <c r="S243" t="s">
        <v>5</v>
      </c>
      <c r="T243" t="s">
        <v>475</v>
      </c>
    </row>
    <row r="244" spans="2:20" x14ac:dyDescent="0.2">
      <c r="B244" t="s">
        <v>584</v>
      </c>
      <c r="C244" t="s">
        <v>462</v>
      </c>
      <c r="D244">
        <v>106601546</v>
      </c>
      <c r="E244" t="s">
        <v>5</v>
      </c>
      <c r="F244" t="s">
        <v>463</v>
      </c>
      <c r="P244" t="s">
        <v>621</v>
      </c>
      <c r="Q244" t="s">
        <v>187</v>
      </c>
      <c r="R244">
        <v>106613000</v>
      </c>
      <c r="S244" t="s">
        <v>5</v>
      </c>
      <c r="T244" t="s">
        <v>188</v>
      </c>
    </row>
    <row r="245" spans="2:20" x14ac:dyDescent="0.2">
      <c r="B245" t="s">
        <v>584</v>
      </c>
      <c r="C245" t="s">
        <v>572</v>
      </c>
      <c r="D245">
        <v>106563029</v>
      </c>
      <c r="E245" t="s">
        <v>5</v>
      </c>
      <c r="F245" t="s">
        <v>573</v>
      </c>
      <c r="P245" t="s">
        <v>621</v>
      </c>
      <c r="Q245" t="s">
        <v>476</v>
      </c>
      <c r="R245">
        <v>106577129</v>
      </c>
      <c r="S245" t="s">
        <v>5</v>
      </c>
      <c r="T245" t="s">
        <v>477</v>
      </c>
    </row>
    <row r="246" spans="2:20" x14ac:dyDescent="0.2">
      <c r="B246" t="s">
        <v>584</v>
      </c>
      <c r="C246" t="s">
        <v>464</v>
      </c>
      <c r="D246">
        <v>106595987</v>
      </c>
      <c r="E246" t="s">
        <v>5</v>
      </c>
      <c r="F246" t="s">
        <v>465</v>
      </c>
      <c r="P246" t="s">
        <v>621</v>
      </c>
      <c r="Q246" t="s">
        <v>480</v>
      </c>
      <c r="R246">
        <v>106566905</v>
      </c>
      <c r="S246" t="s">
        <v>5</v>
      </c>
      <c r="T246" t="s">
        <v>481</v>
      </c>
    </row>
    <row r="247" spans="2:20" x14ac:dyDescent="0.2">
      <c r="B247" t="s">
        <v>584</v>
      </c>
      <c r="C247" t="s">
        <v>169</v>
      </c>
      <c r="D247">
        <v>106578699</v>
      </c>
      <c r="E247" t="s">
        <v>5</v>
      </c>
      <c r="F247" t="s">
        <v>170</v>
      </c>
      <c r="P247" t="s">
        <v>621</v>
      </c>
      <c r="Q247" t="s">
        <v>482</v>
      </c>
      <c r="R247">
        <v>106581130</v>
      </c>
      <c r="S247" t="s">
        <v>5</v>
      </c>
      <c r="T247" t="s">
        <v>483</v>
      </c>
    </row>
    <row r="248" spans="2:20" x14ac:dyDescent="0.2">
      <c r="B248" t="s">
        <v>584</v>
      </c>
      <c r="C248" t="s">
        <v>177</v>
      </c>
      <c r="D248">
        <v>106582548</v>
      </c>
      <c r="E248" t="s">
        <v>5</v>
      </c>
      <c r="F248" t="s">
        <v>178</v>
      </c>
      <c r="P248" t="s">
        <v>621</v>
      </c>
      <c r="Q248" t="s">
        <v>189</v>
      </c>
      <c r="R248">
        <v>100195496</v>
      </c>
      <c r="S248" t="s">
        <v>5</v>
      </c>
      <c r="T248" t="s">
        <v>190</v>
      </c>
    </row>
    <row r="249" spans="2:20" x14ac:dyDescent="0.2">
      <c r="B249" t="s">
        <v>584</v>
      </c>
      <c r="C249" t="s">
        <v>179</v>
      </c>
      <c r="D249">
        <v>106573370</v>
      </c>
      <c r="E249" t="s">
        <v>5</v>
      </c>
      <c r="F249" t="s">
        <v>180</v>
      </c>
      <c r="P249" t="s">
        <v>621</v>
      </c>
      <c r="Q249" t="s">
        <v>484</v>
      </c>
      <c r="R249">
        <v>106601082</v>
      </c>
      <c r="S249" t="s">
        <v>5</v>
      </c>
      <c r="T249" t="s">
        <v>485</v>
      </c>
    </row>
    <row r="250" spans="2:20" x14ac:dyDescent="0.2">
      <c r="B250" t="s">
        <v>584</v>
      </c>
      <c r="C250" t="s">
        <v>181</v>
      </c>
      <c r="D250">
        <v>106567945</v>
      </c>
      <c r="E250" t="s">
        <v>5</v>
      </c>
      <c r="F250" t="s">
        <v>182</v>
      </c>
      <c r="P250" t="s">
        <v>621</v>
      </c>
      <c r="Q250" t="s">
        <v>488</v>
      </c>
      <c r="R250">
        <v>106613111</v>
      </c>
      <c r="S250" t="s">
        <v>5</v>
      </c>
      <c r="T250" t="s">
        <v>489</v>
      </c>
    </row>
    <row r="251" spans="2:20" x14ac:dyDescent="0.2">
      <c r="B251" t="s">
        <v>584</v>
      </c>
      <c r="C251" t="s">
        <v>183</v>
      </c>
      <c r="D251">
        <v>106564929</v>
      </c>
      <c r="E251" t="s">
        <v>5</v>
      </c>
      <c r="F251" t="s">
        <v>184</v>
      </c>
      <c r="P251" t="s">
        <v>621</v>
      </c>
      <c r="Q251" t="s">
        <v>195</v>
      </c>
      <c r="R251">
        <v>106579916</v>
      </c>
      <c r="S251" t="s">
        <v>5</v>
      </c>
      <c r="T251" t="s">
        <v>196</v>
      </c>
    </row>
    <row r="252" spans="2:20" x14ac:dyDescent="0.2">
      <c r="B252" t="s">
        <v>584</v>
      </c>
      <c r="C252" t="s">
        <v>472</v>
      </c>
      <c r="D252">
        <v>106579446</v>
      </c>
      <c r="E252" t="s">
        <v>5</v>
      </c>
      <c r="F252" t="s">
        <v>473</v>
      </c>
      <c r="P252" t="s">
        <v>621</v>
      </c>
      <c r="Q252" t="s">
        <v>197</v>
      </c>
      <c r="R252">
        <v>106582637</v>
      </c>
      <c r="S252" t="s">
        <v>5</v>
      </c>
      <c r="T252" t="s">
        <v>198</v>
      </c>
    </row>
    <row r="253" spans="2:20" x14ac:dyDescent="0.2">
      <c r="B253" t="s">
        <v>584</v>
      </c>
      <c r="C253" t="s">
        <v>574</v>
      </c>
      <c r="D253">
        <v>106600441</v>
      </c>
      <c r="E253" t="s">
        <v>5</v>
      </c>
      <c r="F253" t="s">
        <v>575</v>
      </c>
      <c r="P253" t="s">
        <v>621</v>
      </c>
      <c r="Q253" t="s">
        <v>617</v>
      </c>
      <c r="R253">
        <v>106571591</v>
      </c>
      <c r="S253" t="s">
        <v>5</v>
      </c>
      <c r="T253" t="s">
        <v>618</v>
      </c>
    </row>
    <row r="254" spans="2:20" x14ac:dyDescent="0.2">
      <c r="B254" t="s">
        <v>584</v>
      </c>
      <c r="C254" t="s">
        <v>478</v>
      </c>
      <c r="D254">
        <v>106612512</v>
      </c>
      <c r="E254" t="s">
        <v>5</v>
      </c>
      <c r="F254" t="s">
        <v>479</v>
      </c>
      <c r="P254" t="s">
        <v>621</v>
      </c>
      <c r="Q254" t="s">
        <v>199</v>
      </c>
      <c r="R254">
        <v>106570356</v>
      </c>
      <c r="S254" t="s">
        <v>5</v>
      </c>
      <c r="T254" t="s">
        <v>200</v>
      </c>
    </row>
    <row r="255" spans="2:20" x14ac:dyDescent="0.2">
      <c r="B255" t="s">
        <v>584</v>
      </c>
      <c r="C255" t="s">
        <v>576</v>
      </c>
      <c r="D255">
        <v>106572042</v>
      </c>
      <c r="E255" t="s">
        <v>5</v>
      </c>
      <c r="F255" t="s">
        <v>577</v>
      </c>
      <c r="P255" t="s">
        <v>621</v>
      </c>
      <c r="Q255" t="s">
        <v>494</v>
      </c>
      <c r="R255">
        <v>106562970</v>
      </c>
      <c r="S255" t="s">
        <v>5</v>
      </c>
      <c r="T255" t="s">
        <v>495</v>
      </c>
    </row>
    <row r="256" spans="2:20" x14ac:dyDescent="0.2">
      <c r="B256" t="s">
        <v>584</v>
      </c>
      <c r="C256" t="s">
        <v>191</v>
      </c>
      <c r="D256">
        <v>100196603</v>
      </c>
      <c r="E256" t="s">
        <v>5</v>
      </c>
      <c r="F256" t="s">
        <v>192</v>
      </c>
      <c r="P256" t="s">
        <v>621</v>
      </c>
      <c r="Q256" t="s">
        <v>207</v>
      </c>
      <c r="R256">
        <v>106571905</v>
      </c>
      <c r="S256" t="s">
        <v>5</v>
      </c>
      <c r="T256" t="s">
        <v>208</v>
      </c>
    </row>
    <row r="257" spans="2:20" x14ac:dyDescent="0.2">
      <c r="B257" t="s">
        <v>584</v>
      </c>
      <c r="C257" t="s">
        <v>486</v>
      </c>
      <c r="D257">
        <v>106585529</v>
      </c>
      <c r="E257" t="s">
        <v>5</v>
      </c>
      <c r="F257" t="s">
        <v>487</v>
      </c>
      <c r="P257" t="s">
        <v>621</v>
      </c>
      <c r="Q257" t="s">
        <v>496</v>
      </c>
      <c r="R257">
        <v>106602463</v>
      </c>
      <c r="S257" t="s">
        <v>5</v>
      </c>
      <c r="T257" t="s">
        <v>497</v>
      </c>
    </row>
    <row r="258" spans="2:20" x14ac:dyDescent="0.2">
      <c r="B258" t="s">
        <v>584</v>
      </c>
      <c r="C258" t="s">
        <v>193</v>
      </c>
      <c r="D258">
        <v>106600575</v>
      </c>
      <c r="E258" t="s">
        <v>5</v>
      </c>
      <c r="F258" t="s">
        <v>194</v>
      </c>
      <c r="P258" t="s">
        <v>621</v>
      </c>
      <c r="Q258" t="s">
        <v>498</v>
      </c>
      <c r="R258">
        <v>100286559</v>
      </c>
      <c r="S258" t="s">
        <v>5</v>
      </c>
      <c r="T258" t="s">
        <v>216</v>
      </c>
    </row>
    <row r="259" spans="2:20" x14ac:dyDescent="0.2">
      <c r="B259" t="s">
        <v>584</v>
      </c>
      <c r="C259" t="s">
        <v>201</v>
      </c>
      <c r="D259">
        <v>106594566</v>
      </c>
      <c r="E259" t="s">
        <v>5</v>
      </c>
      <c r="F259" t="s">
        <v>202</v>
      </c>
      <c r="P259" t="s">
        <v>621</v>
      </c>
      <c r="Q259" t="s">
        <v>209</v>
      </c>
      <c r="R259">
        <v>106566757</v>
      </c>
      <c r="S259" t="s">
        <v>5</v>
      </c>
      <c r="T259" t="s">
        <v>210</v>
      </c>
    </row>
    <row r="260" spans="2:20" x14ac:dyDescent="0.2">
      <c r="B260" t="s">
        <v>584</v>
      </c>
      <c r="C260" t="s">
        <v>492</v>
      </c>
      <c r="D260">
        <v>106569535</v>
      </c>
      <c r="E260" t="s">
        <v>5</v>
      </c>
      <c r="F260" t="s">
        <v>493</v>
      </c>
      <c r="P260" t="s">
        <v>621</v>
      </c>
      <c r="Q260" t="s">
        <v>501</v>
      </c>
      <c r="R260">
        <v>106582735</v>
      </c>
      <c r="S260" t="s">
        <v>5</v>
      </c>
      <c r="T260" t="s">
        <v>502</v>
      </c>
    </row>
    <row r="261" spans="2:20" x14ac:dyDescent="0.2">
      <c r="B261" t="s">
        <v>584</v>
      </c>
      <c r="C261" t="s">
        <v>203</v>
      </c>
      <c r="D261">
        <v>106589564</v>
      </c>
      <c r="E261" t="s">
        <v>5</v>
      </c>
      <c r="F261" t="s">
        <v>204</v>
      </c>
      <c r="P261" t="s">
        <v>621</v>
      </c>
      <c r="Q261" t="s">
        <v>503</v>
      </c>
      <c r="R261">
        <v>106565140</v>
      </c>
      <c r="S261" t="s">
        <v>5</v>
      </c>
      <c r="T261" t="s">
        <v>504</v>
      </c>
    </row>
    <row r="262" spans="2:20" x14ac:dyDescent="0.2">
      <c r="B262" t="s">
        <v>584</v>
      </c>
      <c r="C262" t="s">
        <v>205</v>
      </c>
      <c r="D262">
        <v>106565230</v>
      </c>
      <c r="E262" t="s">
        <v>5</v>
      </c>
      <c r="F262" t="s">
        <v>206</v>
      </c>
      <c r="P262" t="s">
        <v>621</v>
      </c>
      <c r="Q262" t="s">
        <v>513</v>
      </c>
      <c r="R262">
        <v>106583224</v>
      </c>
      <c r="S262" t="s">
        <v>5</v>
      </c>
      <c r="T262" t="s">
        <v>514</v>
      </c>
    </row>
    <row r="263" spans="2:20" x14ac:dyDescent="0.2">
      <c r="B263" t="s">
        <v>584</v>
      </c>
      <c r="C263" t="s">
        <v>578</v>
      </c>
      <c r="D263">
        <v>106577209</v>
      </c>
      <c r="E263" t="s">
        <v>5</v>
      </c>
      <c r="F263" t="s">
        <v>579</v>
      </c>
      <c r="P263" t="s">
        <v>621</v>
      </c>
      <c r="Q263" t="s">
        <v>219</v>
      </c>
      <c r="R263">
        <v>106602818</v>
      </c>
      <c r="S263" t="s">
        <v>5</v>
      </c>
      <c r="T263" t="s">
        <v>220</v>
      </c>
    </row>
    <row r="264" spans="2:20" x14ac:dyDescent="0.2">
      <c r="B264" t="s">
        <v>584</v>
      </c>
      <c r="C264" t="s">
        <v>211</v>
      </c>
      <c r="D264">
        <v>100380511</v>
      </c>
      <c r="E264" t="s">
        <v>5</v>
      </c>
      <c r="F264" t="s">
        <v>212</v>
      </c>
      <c r="P264" t="s">
        <v>621</v>
      </c>
      <c r="Q264" t="s">
        <v>223</v>
      </c>
      <c r="R264">
        <v>106605516</v>
      </c>
      <c r="S264" t="s">
        <v>5</v>
      </c>
      <c r="T264" t="s">
        <v>224</v>
      </c>
    </row>
    <row r="265" spans="2:20" x14ac:dyDescent="0.2">
      <c r="B265" t="s">
        <v>584</v>
      </c>
      <c r="C265" t="s">
        <v>499</v>
      </c>
      <c r="D265">
        <v>106588078</v>
      </c>
      <c r="E265" t="s">
        <v>5</v>
      </c>
      <c r="F265" t="s">
        <v>500</v>
      </c>
      <c r="P265" t="s">
        <v>621</v>
      </c>
      <c r="Q265" t="s">
        <v>227</v>
      </c>
      <c r="R265">
        <v>106563157</v>
      </c>
      <c r="S265" t="s">
        <v>5</v>
      </c>
      <c r="T265" t="s">
        <v>228</v>
      </c>
    </row>
    <row r="266" spans="2:20" x14ac:dyDescent="0.2">
      <c r="B266" t="s">
        <v>584</v>
      </c>
      <c r="C266" t="s">
        <v>213</v>
      </c>
      <c r="D266">
        <v>106579422</v>
      </c>
      <c r="E266" t="s">
        <v>5</v>
      </c>
      <c r="F266" t="s">
        <v>214</v>
      </c>
      <c r="P266" t="s">
        <v>621</v>
      </c>
      <c r="Q266" t="s">
        <v>231</v>
      </c>
      <c r="R266">
        <v>106603820</v>
      </c>
      <c r="S266" t="s">
        <v>5</v>
      </c>
      <c r="T266" t="s">
        <v>232</v>
      </c>
    </row>
    <row r="267" spans="2:20" x14ac:dyDescent="0.2">
      <c r="B267" t="s">
        <v>584</v>
      </c>
      <c r="C267" t="s">
        <v>217</v>
      </c>
      <c r="D267">
        <v>106583462</v>
      </c>
      <c r="E267" t="s">
        <v>5</v>
      </c>
      <c r="F267" t="s">
        <v>218</v>
      </c>
      <c r="P267" t="s">
        <v>621</v>
      </c>
      <c r="Q267" t="s">
        <v>233</v>
      </c>
      <c r="R267">
        <v>106571479</v>
      </c>
      <c r="S267" t="s">
        <v>5</v>
      </c>
      <c r="T267" t="s">
        <v>234</v>
      </c>
    </row>
    <row r="268" spans="2:20" x14ac:dyDescent="0.2">
      <c r="B268" t="s">
        <v>584</v>
      </c>
      <c r="C268" t="s">
        <v>505</v>
      </c>
      <c r="D268">
        <v>106589820</v>
      </c>
      <c r="E268" t="s">
        <v>5</v>
      </c>
      <c r="F268" t="s">
        <v>506</v>
      </c>
      <c r="P268" t="s">
        <v>621</v>
      </c>
      <c r="Q268" t="s">
        <v>525</v>
      </c>
      <c r="R268">
        <v>106573852</v>
      </c>
      <c r="S268" t="s">
        <v>5</v>
      </c>
      <c r="T268" t="s">
        <v>526</v>
      </c>
    </row>
    <row r="269" spans="2:20" x14ac:dyDescent="0.2">
      <c r="B269" t="s">
        <v>584</v>
      </c>
      <c r="C269" t="s">
        <v>507</v>
      </c>
      <c r="D269">
        <v>106585282</v>
      </c>
      <c r="E269" t="s">
        <v>5</v>
      </c>
      <c r="F269" t="s">
        <v>508</v>
      </c>
      <c r="P269" t="s">
        <v>621</v>
      </c>
      <c r="Q269" t="s">
        <v>529</v>
      </c>
      <c r="R269">
        <v>106605136</v>
      </c>
      <c r="S269" t="s">
        <v>5</v>
      </c>
      <c r="T269" t="s">
        <v>530</v>
      </c>
    </row>
    <row r="270" spans="2:20" x14ac:dyDescent="0.2">
      <c r="B270" t="s">
        <v>584</v>
      </c>
      <c r="C270" t="s">
        <v>509</v>
      </c>
      <c r="D270">
        <v>106607213</v>
      </c>
      <c r="E270" t="s">
        <v>5</v>
      </c>
      <c r="F270" t="s">
        <v>510</v>
      </c>
      <c r="P270" t="s">
        <v>621</v>
      </c>
      <c r="Q270" t="s">
        <v>239</v>
      </c>
      <c r="R270">
        <v>106605646</v>
      </c>
      <c r="S270" t="s">
        <v>5</v>
      </c>
      <c r="T270" t="s">
        <v>240</v>
      </c>
    </row>
    <row r="271" spans="2:20" x14ac:dyDescent="0.2">
      <c r="B271" t="s">
        <v>584</v>
      </c>
      <c r="C271" t="s">
        <v>511</v>
      </c>
      <c r="D271">
        <v>100196036</v>
      </c>
      <c r="E271" t="s">
        <v>5</v>
      </c>
      <c r="F271" t="s">
        <v>512</v>
      </c>
      <c r="P271" t="s">
        <v>621</v>
      </c>
      <c r="Q271" t="s">
        <v>241</v>
      </c>
      <c r="R271">
        <v>106602804</v>
      </c>
      <c r="S271" t="s">
        <v>5</v>
      </c>
      <c r="T271" t="s">
        <v>242</v>
      </c>
    </row>
    <row r="272" spans="2:20" x14ac:dyDescent="0.2">
      <c r="B272" t="s">
        <v>584</v>
      </c>
      <c r="C272" t="s">
        <v>517</v>
      </c>
      <c r="D272">
        <v>106590474</v>
      </c>
      <c r="E272" t="s">
        <v>5</v>
      </c>
      <c r="F272" t="s">
        <v>518</v>
      </c>
      <c r="P272" t="s">
        <v>621</v>
      </c>
      <c r="Q272" t="s">
        <v>531</v>
      </c>
      <c r="R272">
        <v>106560567</v>
      </c>
      <c r="S272" t="s">
        <v>5</v>
      </c>
      <c r="T272" t="s">
        <v>532</v>
      </c>
    </row>
    <row r="273" spans="2:20" x14ac:dyDescent="0.2">
      <c r="B273" t="s">
        <v>584</v>
      </c>
      <c r="C273" t="s">
        <v>221</v>
      </c>
      <c r="D273">
        <v>106580364</v>
      </c>
      <c r="E273" t="s">
        <v>5</v>
      </c>
      <c r="F273" t="s">
        <v>222</v>
      </c>
      <c r="P273" t="s">
        <v>621</v>
      </c>
      <c r="Q273" t="s">
        <v>533</v>
      </c>
      <c r="R273">
        <v>106604409</v>
      </c>
      <c r="S273" t="s">
        <v>5</v>
      </c>
      <c r="T273" t="s">
        <v>534</v>
      </c>
    </row>
    <row r="274" spans="2:20" x14ac:dyDescent="0.2">
      <c r="B274" t="s">
        <v>584</v>
      </c>
      <c r="C274" t="s">
        <v>519</v>
      </c>
      <c r="D274">
        <v>106592057</v>
      </c>
      <c r="E274" t="s">
        <v>5</v>
      </c>
      <c r="F274" t="s">
        <v>520</v>
      </c>
      <c r="P274" t="s">
        <v>621</v>
      </c>
      <c r="Q274" t="s">
        <v>539</v>
      </c>
      <c r="R274">
        <v>106608778</v>
      </c>
      <c r="S274" t="s">
        <v>5</v>
      </c>
      <c r="T274" t="s">
        <v>540</v>
      </c>
    </row>
    <row r="275" spans="2:20" x14ac:dyDescent="0.2">
      <c r="B275" t="s">
        <v>584</v>
      </c>
      <c r="C275" t="s">
        <v>521</v>
      </c>
      <c r="D275">
        <v>106564790</v>
      </c>
      <c r="E275" t="s">
        <v>5</v>
      </c>
      <c r="F275" t="s">
        <v>522</v>
      </c>
      <c r="P275" t="s">
        <v>621</v>
      </c>
      <c r="Q275" t="s">
        <v>619</v>
      </c>
      <c r="R275">
        <v>106609305</v>
      </c>
      <c r="S275" t="s">
        <v>5</v>
      </c>
      <c r="T275" t="s">
        <v>620</v>
      </c>
    </row>
    <row r="276" spans="2:20" x14ac:dyDescent="0.2">
      <c r="B276" t="s">
        <v>584</v>
      </c>
      <c r="C276" t="s">
        <v>225</v>
      </c>
      <c r="D276">
        <v>106576365</v>
      </c>
      <c r="E276" t="s">
        <v>5</v>
      </c>
      <c r="F276" t="s">
        <v>226</v>
      </c>
      <c r="P276" t="s">
        <v>621</v>
      </c>
      <c r="Q276" t="s">
        <v>251</v>
      </c>
      <c r="R276">
        <v>106575957</v>
      </c>
      <c r="S276" t="s">
        <v>5</v>
      </c>
      <c r="T276" t="s">
        <v>252</v>
      </c>
    </row>
    <row r="277" spans="2:20" x14ac:dyDescent="0.2">
      <c r="B277" t="s">
        <v>584</v>
      </c>
      <c r="C277" t="s">
        <v>523</v>
      </c>
      <c r="D277">
        <v>106564921</v>
      </c>
      <c r="E277" t="s">
        <v>5</v>
      </c>
      <c r="F277" t="s">
        <v>524</v>
      </c>
      <c r="P277" t="s">
        <v>621</v>
      </c>
      <c r="Q277" t="s">
        <v>253</v>
      </c>
      <c r="R277">
        <v>106568747</v>
      </c>
      <c r="S277" t="s">
        <v>5</v>
      </c>
      <c r="T277" t="s">
        <v>254</v>
      </c>
    </row>
    <row r="278" spans="2:20" x14ac:dyDescent="0.2">
      <c r="B278" t="s">
        <v>584</v>
      </c>
      <c r="C278" t="s">
        <v>229</v>
      </c>
      <c r="D278">
        <v>106563829</v>
      </c>
      <c r="E278" t="s">
        <v>5</v>
      </c>
      <c r="F278" t="s">
        <v>230</v>
      </c>
      <c r="P278" t="s">
        <v>621</v>
      </c>
      <c r="Q278" t="s">
        <v>255</v>
      </c>
      <c r="R278">
        <v>106607305</v>
      </c>
      <c r="S278" t="s">
        <v>5</v>
      </c>
      <c r="T278" t="s">
        <v>256</v>
      </c>
    </row>
    <row r="279" spans="2:20" x14ac:dyDescent="0.2">
      <c r="B279" t="s">
        <v>584</v>
      </c>
      <c r="C279" t="s">
        <v>527</v>
      </c>
      <c r="D279">
        <v>106576269</v>
      </c>
      <c r="E279" t="s">
        <v>5</v>
      </c>
      <c r="F279" t="s">
        <v>528</v>
      </c>
      <c r="P279" t="s">
        <v>621</v>
      </c>
      <c r="Q279" t="s">
        <v>257</v>
      </c>
      <c r="R279">
        <v>106612416</v>
      </c>
      <c r="S279" t="s">
        <v>5</v>
      </c>
      <c r="T279" t="s">
        <v>258</v>
      </c>
    </row>
    <row r="280" spans="2:20" x14ac:dyDescent="0.2">
      <c r="B280" t="s">
        <v>584</v>
      </c>
      <c r="C280" t="s">
        <v>235</v>
      </c>
      <c r="D280">
        <v>106603405</v>
      </c>
      <c r="E280" t="s">
        <v>5</v>
      </c>
      <c r="F280" t="s">
        <v>236</v>
      </c>
      <c r="P280" t="s">
        <v>621</v>
      </c>
      <c r="Q280" t="s">
        <v>259</v>
      </c>
      <c r="R280">
        <v>106571474</v>
      </c>
      <c r="S280" t="s">
        <v>5</v>
      </c>
      <c r="T280" t="s">
        <v>260</v>
      </c>
    </row>
    <row r="281" spans="2:20" x14ac:dyDescent="0.2">
      <c r="B281" t="s">
        <v>584</v>
      </c>
      <c r="C281" t="s">
        <v>237</v>
      </c>
      <c r="D281">
        <v>106608215</v>
      </c>
      <c r="E281" t="s">
        <v>5</v>
      </c>
      <c r="F281" t="s">
        <v>238</v>
      </c>
      <c r="P281" t="s">
        <v>621</v>
      </c>
      <c r="Q281" t="s">
        <v>261</v>
      </c>
      <c r="R281">
        <v>106568930</v>
      </c>
      <c r="S281" t="s">
        <v>5</v>
      </c>
      <c r="T281" t="s">
        <v>262</v>
      </c>
    </row>
    <row r="282" spans="2:20" x14ac:dyDescent="0.2">
      <c r="B282" t="s">
        <v>584</v>
      </c>
      <c r="C282" t="s">
        <v>580</v>
      </c>
      <c r="D282">
        <v>106589299</v>
      </c>
      <c r="E282" t="s">
        <v>5</v>
      </c>
      <c r="F282" t="s">
        <v>581</v>
      </c>
      <c r="P282" t="s">
        <v>621</v>
      </c>
      <c r="Q282" t="s">
        <v>545</v>
      </c>
      <c r="R282">
        <v>106601908</v>
      </c>
      <c r="S282" t="s">
        <v>5</v>
      </c>
      <c r="T282" t="s">
        <v>546</v>
      </c>
    </row>
    <row r="283" spans="2:20" x14ac:dyDescent="0.2">
      <c r="B283" t="s">
        <v>584</v>
      </c>
      <c r="C283" t="s">
        <v>243</v>
      </c>
      <c r="D283">
        <v>106569546</v>
      </c>
      <c r="E283" t="s">
        <v>5</v>
      </c>
      <c r="F283" t="s">
        <v>244</v>
      </c>
      <c r="P283" t="s">
        <v>627</v>
      </c>
      <c r="Q283" t="s">
        <v>587</v>
      </c>
      <c r="R283">
        <v>100136351</v>
      </c>
      <c r="S283" t="s">
        <v>5</v>
      </c>
      <c r="T283" t="s">
        <v>588</v>
      </c>
    </row>
    <row r="284" spans="2:20" x14ac:dyDescent="0.2">
      <c r="B284" t="s">
        <v>584</v>
      </c>
      <c r="C284" t="s">
        <v>535</v>
      </c>
      <c r="D284">
        <v>100136509</v>
      </c>
      <c r="E284" t="s">
        <v>5</v>
      </c>
      <c r="F284" t="s">
        <v>536</v>
      </c>
      <c r="P284" t="s">
        <v>627</v>
      </c>
      <c r="Q284" t="s">
        <v>167</v>
      </c>
      <c r="R284">
        <v>100194499</v>
      </c>
      <c r="S284" t="s">
        <v>5</v>
      </c>
      <c r="T284" t="s">
        <v>168</v>
      </c>
    </row>
    <row r="285" spans="2:20" x14ac:dyDescent="0.2">
      <c r="B285" t="s">
        <v>584</v>
      </c>
      <c r="C285" t="s">
        <v>245</v>
      </c>
      <c r="D285">
        <v>106573762</v>
      </c>
      <c r="E285" t="s">
        <v>5</v>
      </c>
      <c r="F285" t="s">
        <v>246</v>
      </c>
      <c r="P285" t="s">
        <v>627</v>
      </c>
      <c r="Q285" t="s">
        <v>380</v>
      </c>
      <c r="R285">
        <v>100194533</v>
      </c>
      <c r="S285" t="s">
        <v>5</v>
      </c>
      <c r="T285" t="s">
        <v>381</v>
      </c>
    </row>
    <row r="286" spans="2:20" x14ac:dyDescent="0.2">
      <c r="B286" t="s">
        <v>584</v>
      </c>
      <c r="C286" t="s">
        <v>247</v>
      </c>
      <c r="D286">
        <v>106570373</v>
      </c>
      <c r="E286" t="s">
        <v>5</v>
      </c>
      <c r="F286" t="s">
        <v>248</v>
      </c>
      <c r="P286" t="s">
        <v>627</v>
      </c>
      <c r="Q286" t="s">
        <v>454</v>
      </c>
      <c r="R286">
        <v>100194974</v>
      </c>
      <c r="S286" t="s">
        <v>5</v>
      </c>
      <c r="T286" t="s">
        <v>455</v>
      </c>
    </row>
    <row r="287" spans="2:20" x14ac:dyDescent="0.2">
      <c r="B287" t="s">
        <v>584</v>
      </c>
      <c r="C287" t="s">
        <v>537</v>
      </c>
      <c r="D287">
        <v>106613227</v>
      </c>
      <c r="E287" t="s">
        <v>5</v>
      </c>
      <c r="F287" t="s">
        <v>538</v>
      </c>
      <c r="P287" t="s">
        <v>627</v>
      </c>
      <c r="Q287" t="s">
        <v>147</v>
      </c>
      <c r="R287">
        <v>100195278</v>
      </c>
      <c r="S287" t="s">
        <v>5</v>
      </c>
      <c r="T287" t="s">
        <v>148</v>
      </c>
    </row>
    <row r="288" spans="2:20" x14ac:dyDescent="0.2">
      <c r="B288" t="s">
        <v>584</v>
      </c>
      <c r="C288" t="s">
        <v>541</v>
      </c>
      <c r="D288">
        <v>106572046</v>
      </c>
      <c r="E288" t="s">
        <v>5</v>
      </c>
      <c r="F288" t="s">
        <v>542</v>
      </c>
      <c r="P288" t="s">
        <v>627</v>
      </c>
      <c r="Q288" t="s">
        <v>552</v>
      </c>
      <c r="R288">
        <v>100196384</v>
      </c>
      <c r="S288" t="s">
        <v>5</v>
      </c>
      <c r="T288" t="s">
        <v>553</v>
      </c>
    </row>
    <row r="289" spans="2:20" x14ac:dyDescent="0.2">
      <c r="B289" t="s">
        <v>584</v>
      </c>
      <c r="C289" t="s">
        <v>249</v>
      </c>
      <c r="D289">
        <v>106592571</v>
      </c>
      <c r="E289" t="s">
        <v>5</v>
      </c>
      <c r="F289" t="s">
        <v>250</v>
      </c>
      <c r="P289" t="s">
        <v>627</v>
      </c>
      <c r="Q289" t="s">
        <v>332</v>
      </c>
      <c r="R289">
        <v>100196724</v>
      </c>
      <c r="S289" t="s">
        <v>5</v>
      </c>
      <c r="T289" t="s">
        <v>333</v>
      </c>
    </row>
    <row r="290" spans="2:20" x14ac:dyDescent="0.2">
      <c r="B290" t="s">
        <v>584</v>
      </c>
      <c r="C290" t="s">
        <v>582</v>
      </c>
      <c r="D290">
        <v>106563639</v>
      </c>
      <c r="E290" t="s">
        <v>5</v>
      </c>
      <c r="F290" t="s">
        <v>583</v>
      </c>
      <c r="P290" t="s">
        <v>627</v>
      </c>
      <c r="Q290" t="s">
        <v>376</v>
      </c>
      <c r="R290">
        <v>100380750</v>
      </c>
      <c r="S290" t="s">
        <v>5</v>
      </c>
      <c r="T290" t="s">
        <v>377</v>
      </c>
    </row>
    <row r="291" spans="2:20" x14ac:dyDescent="0.2">
      <c r="B291" t="s">
        <v>584</v>
      </c>
      <c r="C291" t="s">
        <v>543</v>
      </c>
      <c r="D291">
        <v>106602915</v>
      </c>
      <c r="E291" t="s">
        <v>5</v>
      </c>
      <c r="F291" t="s">
        <v>544</v>
      </c>
      <c r="P291" t="s">
        <v>627</v>
      </c>
      <c r="Q291" t="s">
        <v>386</v>
      </c>
      <c r="R291">
        <v>106560227</v>
      </c>
      <c r="S291" t="s">
        <v>5</v>
      </c>
      <c r="T291" t="s">
        <v>387</v>
      </c>
    </row>
    <row r="292" spans="2:20" x14ac:dyDescent="0.2">
      <c r="B292" t="s">
        <v>622</v>
      </c>
      <c r="C292" t="s">
        <v>95</v>
      </c>
      <c r="D292">
        <v>100136392</v>
      </c>
      <c r="E292" t="s">
        <v>5</v>
      </c>
      <c r="F292" t="s">
        <v>96</v>
      </c>
      <c r="P292" t="s">
        <v>627</v>
      </c>
      <c r="Q292" t="s">
        <v>269</v>
      </c>
      <c r="R292">
        <v>106560529</v>
      </c>
      <c r="S292" t="s">
        <v>5</v>
      </c>
      <c r="T292" t="s">
        <v>270</v>
      </c>
    </row>
    <row r="293" spans="2:20" x14ac:dyDescent="0.2">
      <c r="B293" t="s">
        <v>622</v>
      </c>
      <c r="C293" t="s">
        <v>139</v>
      </c>
      <c r="D293">
        <v>100136517</v>
      </c>
      <c r="E293" t="s">
        <v>5</v>
      </c>
      <c r="F293" t="s">
        <v>140</v>
      </c>
      <c r="P293" t="s">
        <v>627</v>
      </c>
      <c r="Q293" t="s">
        <v>531</v>
      </c>
      <c r="R293">
        <v>106560567</v>
      </c>
      <c r="S293" t="s">
        <v>5</v>
      </c>
      <c r="T293" t="s">
        <v>532</v>
      </c>
    </row>
    <row r="294" spans="2:20" x14ac:dyDescent="0.2">
      <c r="B294" t="s">
        <v>622</v>
      </c>
      <c r="C294" t="s">
        <v>470</v>
      </c>
      <c r="D294">
        <v>100194605</v>
      </c>
      <c r="E294" t="s">
        <v>5</v>
      </c>
      <c r="F294" t="s">
        <v>471</v>
      </c>
      <c r="P294" t="s">
        <v>627</v>
      </c>
      <c r="Q294" t="s">
        <v>306</v>
      </c>
      <c r="R294">
        <v>106560701</v>
      </c>
      <c r="S294" t="s">
        <v>5</v>
      </c>
      <c r="T294" t="s">
        <v>307</v>
      </c>
    </row>
    <row r="295" spans="2:20" x14ac:dyDescent="0.2">
      <c r="B295" t="s">
        <v>622</v>
      </c>
      <c r="C295" t="s">
        <v>293</v>
      </c>
      <c r="D295">
        <v>100194780</v>
      </c>
      <c r="E295" t="s">
        <v>5</v>
      </c>
      <c r="F295" t="s">
        <v>294</v>
      </c>
      <c r="P295" t="s">
        <v>627</v>
      </c>
      <c r="Q295" t="s">
        <v>384</v>
      </c>
      <c r="R295">
        <v>106560964</v>
      </c>
      <c r="S295" t="s">
        <v>5</v>
      </c>
      <c r="T295" t="s">
        <v>385</v>
      </c>
    </row>
    <row r="296" spans="2:20" x14ac:dyDescent="0.2">
      <c r="B296" t="s">
        <v>622</v>
      </c>
      <c r="C296" t="s">
        <v>450</v>
      </c>
      <c r="D296">
        <v>100195178</v>
      </c>
      <c r="E296" t="s">
        <v>5</v>
      </c>
      <c r="F296" t="s">
        <v>451</v>
      </c>
      <c r="P296" t="s">
        <v>627</v>
      </c>
      <c r="Q296" t="s">
        <v>570</v>
      </c>
      <c r="R296">
        <v>106561551</v>
      </c>
      <c r="S296" t="s">
        <v>5</v>
      </c>
      <c r="T296" t="s">
        <v>571</v>
      </c>
    </row>
    <row r="297" spans="2:20" x14ac:dyDescent="0.2">
      <c r="B297" t="s">
        <v>622</v>
      </c>
      <c r="C297" t="s">
        <v>189</v>
      </c>
      <c r="D297">
        <v>100195496</v>
      </c>
      <c r="E297" t="s">
        <v>5</v>
      </c>
      <c r="F297" t="s">
        <v>190</v>
      </c>
      <c r="P297" t="s">
        <v>627</v>
      </c>
      <c r="Q297" t="s">
        <v>572</v>
      </c>
      <c r="R297">
        <v>106563029</v>
      </c>
      <c r="S297" t="s">
        <v>5</v>
      </c>
      <c r="T297" t="s">
        <v>573</v>
      </c>
    </row>
    <row r="298" spans="2:20" x14ac:dyDescent="0.2">
      <c r="B298" t="s">
        <v>622</v>
      </c>
      <c r="C298" t="s">
        <v>121</v>
      </c>
      <c r="D298">
        <v>100195739</v>
      </c>
      <c r="E298" t="s">
        <v>5</v>
      </c>
      <c r="F298" t="s">
        <v>122</v>
      </c>
      <c r="P298" t="s">
        <v>627</v>
      </c>
      <c r="Q298" t="s">
        <v>227</v>
      </c>
      <c r="R298">
        <v>106563157</v>
      </c>
      <c r="S298" t="s">
        <v>5</v>
      </c>
      <c r="T298" t="s">
        <v>228</v>
      </c>
    </row>
    <row r="299" spans="2:20" x14ac:dyDescent="0.2">
      <c r="B299" t="s">
        <v>622</v>
      </c>
      <c r="C299" t="s">
        <v>511</v>
      </c>
      <c r="D299">
        <v>100196036</v>
      </c>
      <c r="E299" t="s">
        <v>5</v>
      </c>
      <c r="F299" t="s">
        <v>512</v>
      </c>
      <c r="P299" t="s">
        <v>627</v>
      </c>
      <c r="Q299" t="s">
        <v>295</v>
      </c>
      <c r="R299">
        <v>106563584</v>
      </c>
      <c r="S299" t="s">
        <v>5</v>
      </c>
      <c r="T299" t="s">
        <v>296</v>
      </c>
    </row>
    <row r="300" spans="2:20" x14ac:dyDescent="0.2">
      <c r="B300" t="s">
        <v>622</v>
      </c>
      <c r="C300" t="s">
        <v>326</v>
      </c>
      <c r="D300">
        <v>100196161</v>
      </c>
      <c r="E300" t="s">
        <v>5</v>
      </c>
      <c r="F300" t="s">
        <v>327</v>
      </c>
      <c r="P300" t="s">
        <v>627</v>
      </c>
      <c r="Q300" t="s">
        <v>131</v>
      </c>
      <c r="R300">
        <v>106563815</v>
      </c>
      <c r="S300" t="s">
        <v>5</v>
      </c>
      <c r="T300" t="s">
        <v>132</v>
      </c>
    </row>
    <row r="301" spans="2:20" x14ac:dyDescent="0.2">
      <c r="B301" t="s">
        <v>622</v>
      </c>
      <c r="C301" t="s">
        <v>191</v>
      </c>
      <c r="D301">
        <v>100196603</v>
      </c>
      <c r="E301" t="s">
        <v>5</v>
      </c>
      <c r="F301" t="s">
        <v>192</v>
      </c>
      <c r="P301" t="s">
        <v>627</v>
      </c>
      <c r="Q301" t="s">
        <v>229</v>
      </c>
      <c r="R301">
        <v>106563829</v>
      </c>
      <c r="S301" t="s">
        <v>5</v>
      </c>
      <c r="T301" t="s">
        <v>230</v>
      </c>
    </row>
    <row r="302" spans="2:20" x14ac:dyDescent="0.2">
      <c r="B302" t="s">
        <v>622</v>
      </c>
      <c r="C302" t="s">
        <v>515</v>
      </c>
      <c r="D302">
        <v>100196751</v>
      </c>
      <c r="E302" t="s">
        <v>5</v>
      </c>
      <c r="F302" t="s">
        <v>516</v>
      </c>
      <c r="P302" t="s">
        <v>627</v>
      </c>
      <c r="Q302" t="s">
        <v>51</v>
      </c>
      <c r="R302">
        <v>106564671</v>
      </c>
      <c r="S302" t="s">
        <v>5</v>
      </c>
      <c r="T302" t="s">
        <v>52</v>
      </c>
    </row>
    <row r="303" spans="2:20" x14ac:dyDescent="0.2">
      <c r="B303" t="s">
        <v>622</v>
      </c>
      <c r="C303" t="s">
        <v>444</v>
      </c>
      <c r="D303">
        <v>100286678</v>
      </c>
      <c r="E303" t="s">
        <v>5</v>
      </c>
      <c r="F303" t="s">
        <v>445</v>
      </c>
      <c r="P303" t="s">
        <v>627</v>
      </c>
      <c r="Q303" t="s">
        <v>521</v>
      </c>
      <c r="R303">
        <v>106564790</v>
      </c>
      <c r="S303" t="s">
        <v>5</v>
      </c>
      <c r="T303" t="s">
        <v>522</v>
      </c>
    </row>
    <row r="304" spans="2:20" x14ac:dyDescent="0.2">
      <c r="B304" t="s">
        <v>622</v>
      </c>
      <c r="C304" t="s">
        <v>145</v>
      </c>
      <c r="D304">
        <v>100306767</v>
      </c>
      <c r="E304" t="s">
        <v>5</v>
      </c>
      <c r="F304" t="s">
        <v>146</v>
      </c>
      <c r="P304" t="s">
        <v>627</v>
      </c>
      <c r="Q304" t="s">
        <v>396</v>
      </c>
      <c r="R304">
        <v>106564882</v>
      </c>
      <c r="S304" t="s">
        <v>5</v>
      </c>
      <c r="T304" t="s">
        <v>397</v>
      </c>
    </row>
    <row r="305" spans="2:20" x14ac:dyDescent="0.2">
      <c r="B305" t="s">
        <v>622</v>
      </c>
      <c r="C305" t="s">
        <v>151</v>
      </c>
      <c r="D305">
        <v>100380343</v>
      </c>
      <c r="E305" t="s">
        <v>5</v>
      </c>
      <c r="F305" t="s">
        <v>152</v>
      </c>
      <c r="P305" t="s">
        <v>627</v>
      </c>
      <c r="Q305" t="s">
        <v>523</v>
      </c>
      <c r="R305">
        <v>106564921</v>
      </c>
      <c r="S305" t="s">
        <v>5</v>
      </c>
      <c r="T305" t="s">
        <v>524</v>
      </c>
    </row>
    <row r="306" spans="2:20" x14ac:dyDescent="0.2">
      <c r="B306" t="s">
        <v>622</v>
      </c>
      <c r="C306" t="s">
        <v>426</v>
      </c>
      <c r="D306">
        <v>100380437</v>
      </c>
      <c r="E306" t="s">
        <v>5</v>
      </c>
      <c r="F306" t="s">
        <v>427</v>
      </c>
      <c r="P306" t="s">
        <v>627</v>
      </c>
      <c r="Q306" t="s">
        <v>585</v>
      </c>
      <c r="R306">
        <v>106565215</v>
      </c>
      <c r="S306" t="s">
        <v>5</v>
      </c>
      <c r="T306" t="s">
        <v>586</v>
      </c>
    </row>
    <row r="307" spans="2:20" x14ac:dyDescent="0.2">
      <c r="B307" t="s">
        <v>622</v>
      </c>
      <c r="C307" t="s">
        <v>358</v>
      </c>
      <c r="D307">
        <v>100380484</v>
      </c>
      <c r="E307" t="s">
        <v>5</v>
      </c>
      <c r="F307" t="s">
        <v>359</v>
      </c>
      <c r="P307" t="s">
        <v>627</v>
      </c>
      <c r="Q307" t="s">
        <v>599</v>
      </c>
      <c r="R307">
        <v>106566606</v>
      </c>
      <c r="S307" t="s">
        <v>5</v>
      </c>
      <c r="T307" t="s">
        <v>600</v>
      </c>
    </row>
    <row r="308" spans="2:20" x14ac:dyDescent="0.2">
      <c r="B308" t="s">
        <v>622</v>
      </c>
      <c r="C308" t="s">
        <v>211</v>
      </c>
      <c r="D308">
        <v>100380511</v>
      </c>
      <c r="E308" t="s">
        <v>5</v>
      </c>
      <c r="F308" t="s">
        <v>212</v>
      </c>
      <c r="P308" t="s">
        <v>627</v>
      </c>
      <c r="Q308" t="s">
        <v>209</v>
      </c>
      <c r="R308">
        <v>106566757</v>
      </c>
      <c r="S308" t="s">
        <v>5</v>
      </c>
      <c r="T308" t="s">
        <v>210</v>
      </c>
    </row>
    <row r="309" spans="2:20" x14ac:dyDescent="0.2">
      <c r="B309" t="s">
        <v>622</v>
      </c>
      <c r="C309" t="s">
        <v>324</v>
      </c>
      <c r="D309">
        <v>100380849</v>
      </c>
      <c r="E309" t="s">
        <v>5</v>
      </c>
      <c r="F309" t="s">
        <v>325</v>
      </c>
      <c r="P309" t="s">
        <v>627</v>
      </c>
      <c r="Q309" t="s">
        <v>33</v>
      </c>
      <c r="R309">
        <v>106566970</v>
      </c>
      <c r="S309" t="s">
        <v>5</v>
      </c>
      <c r="T309" t="s">
        <v>34</v>
      </c>
    </row>
    <row r="310" spans="2:20" x14ac:dyDescent="0.2">
      <c r="B310" t="s">
        <v>622</v>
      </c>
      <c r="C310" t="s">
        <v>430</v>
      </c>
      <c r="D310">
        <v>100380867</v>
      </c>
      <c r="E310" t="s">
        <v>5</v>
      </c>
      <c r="F310" t="s">
        <v>431</v>
      </c>
      <c r="P310" t="s">
        <v>627</v>
      </c>
      <c r="Q310" t="s">
        <v>119</v>
      </c>
      <c r="R310">
        <v>106567255</v>
      </c>
      <c r="S310" t="s">
        <v>5</v>
      </c>
      <c r="T310" t="s">
        <v>120</v>
      </c>
    </row>
    <row r="311" spans="2:20" x14ac:dyDescent="0.2">
      <c r="B311" t="s">
        <v>622</v>
      </c>
      <c r="C311" t="s">
        <v>163</v>
      </c>
      <c r="D311">
        <v>106560933</v>
      </c>
      <c r="E311" t="s">
        <v>5</v>
      </c>
      <c r="F311" t="s">
        <v>164</v>
      </c>
      <c r="P311" t="s">
        <v>627</v>
      </c>
      <c r="Q311" t="s">
        <v>161</v>
      </c>
      <c r="R311">
        <v>106567387</v>
      </c>
      <c r="S311" t="s">
        <v>5</v>
      </c>
      <c r="T311" t="s">
        <v>162</v>
      </c>
    </row>
    <row r="312" spans="2:20" x14ac:dyDescent="0.2">
      <c r="B312" t="s">
        <v>622</v>
      </c>
      <c r="C312" t="s">
        <v>408</v>
      </c>
      <c r="D312">
        <v>106561138</v>
      </c>
      <c r="E312" t="s">
        <v>5</v>
      </c>
      <c r="F312" t="s">
        <v>409</v>
      </c>
      <c r="P312" t="s">
        <v>627</v>
      </c>
      <c r="Q312" t="s">
        <v>23</v>
      </c>
      <c r="R312">
        <v>106567563</v>
      </c>
      <c r="S312" t="s">
        <v>5</v>
      </c>
      <c r="T312" t="s">
        <v>24</v>
      </c>
    </row>
    <row r="313" spans="2:20" x14ac:dyDescent="0.2">
      <c r="B313" t="s">
        <v>622</v>
      </c>
      <c r="C313" t="s">
        <v>27</v>
      </c>
      <c r="D313">
        <v>106561370</v>
      </c>
      <c r="E313" t="s">
        <v>5</v>
      </c>
      <c r="F313" t="s">
        <v>28</v>
      </c>
      <c r="P313" t="s">
        <v>627</v>
      </c>
      <c r="Q313" t="s">
        <v>360</v>
      </c>
      <c r="R313">
        <v>106567885</v>
      </c>
      <c r="S313" t="s">
        <v>5</v>
      </c>
      <c r="T313" t="s">
        <v>361</v>
      </c>
    </row>
    <row r="314" spans="2:20" x14ac:dyDescent="0.2">
      <c r="B314" t="s">
        <v>622</v>
      </c>
      <c r="C314" t="s">
        <v>466</v>
      </c>
      <c r="D314">
        <v>106561428</v>
      </c>
      <c r="E314" t="s">
        <v>5</v>
      </c>
      <c r="F314" t="s">
        <v>467</v>
      </c>
      <c r="P314" t="s">
        <v>627</v>
      </c>
      <c r="Q314" t="s">
        <v>432</v>
      </c>
      <c r="R314">
        <v>106567964</v>
      </c>
      <c r="S314" t="s">
        <v>5</v>
      </c>
      <c r="T314" t="s">
        <v>433</v>
      </c>
    </row>
    <row r="315" spans="2:20" x14ac:dyDescent="0.2">
      <c r="B315" t="s">
        <v>622</v>
      </c>
      <c r="C315" t="s">
        <v>494</v>
      </c>
      <c r="D315">
        <v>106562970</v>
      </c>
      <c r="E315" t="s">
        <v>5</v>
      </c>
      <c r="F315" t="s">
        <v>495</v>
      </c>
      <c r="P315" t="s">
        <v>627</v>
      </c>
      <c r="Q315" t="s">
        <v>434</v>
      </c>
      <c r="R315">
        <v>106568168</v>
      </c>
      <c r="S315" t="s">
        <v>5</v>
      </c>
      <c r="T315" t="s">
        <v>435</v>
      </c>
    </row>
    <row r="316" spans="2:20" x14ac:dyDescent="0.2">
      <c r="B316" t="s">
        <v>622</v>
      </c>
      <c r="C316" t="s">
        <v>438</v>
      </c>
      <c r="D316">
        <v>106563018</v>
      </c>
      <c r="E316" t="s">
        <v>5</v>
      </c>
      <c r="F316" t="s">
        <v>439</v>
      </c>
      <c r="P316" t="s">
        <v>627</v>
      </c>
      <c r="Q316" t="s">
        <v>253</v>
      </c>
      <c r="R316">
        <v>106568747</v>
      </c>
      <c r="S316" t="s">
        <v>5</v>
      </c>
      <c r="T316" t="s">
        <v>254</v>
      </c>
    </row>
    <row r="317" spans="2:20" x14ac:dyDescent="0.2">
      <c r="B317" t="s">
        <v>622</v>
      </c>
      <c r="C317" t="s">
        <v>25</v>
      </c>
      <c r="D317">
        <v>106563593</v>
      </c>
      <c r="E317" t="s">
        <v>5</v>
      </c>
      <c r="F317" t="s">
        <v>26</v>
      </c>
      <c r="P317" t="s">
        <v>627</v>
      </c>
      <c r="Q317" t="s">
        <v>261</v>
      </c>
      <c r="R317">
        <v>106568930</v>
      </c>
      <c r="S317" t="s">
        <v>5</v>
      </c>
      <c r="T317" t="s">
        <v>262</v>
      </c>
    </row>
    <row r="318" spans="2:20" x14ac:dyDescent="0.2">
      <c r="B318" t="s">
        <v>622</v>
      </c>
      <c r="C318" t="s">
        <v>428</v>
      </c>
      <c r="D318">
        <v>106564869</v>
      </c>
      <c r="E318" t="s">
        <v>5</v>
      </c>
      <c r="F318" t="s">
        <v>429</v>
      </c>
      <c r="P318" t="s">
        <v>627</v>
      </c>
      <c r="Q318" t="s">
        <v>19</v>
      </c>
      <c r="R318">
        <v>106569403</v>
      </c>
      <c r="S318" t="s">
        <v>5</v>
      </c>
      <c r="T318" t="s">
        <v>20</v>
      </c>
    </row>
    <row r="319" spans="2:20" x14ac:dyDescent="0.2">
      <c r="B319" t="s">
        <v>622</v>
      </c>
      <c r="C319" t="s">
        <v>183</v>
      </c>
      <c r="D319">
        <v>106564929</v>
      </c>
      <c r="E319" t="s">
        <v>5</v>
      </c>
      <c r="F319" t="s">
        <v>184</v>
      </c>
      <c r="P319" t="s">
        <v>627</v>
      </c>
      <c r="Q319" t="s">
        <v>243</v>
      </c>
      <c r="R319">
        <v>106569546</v>
      </c>
      <c r="S319" t="s">
        <v>5</v>
      </c>
      <c r="T319" t="s">
        <v>244</v>
      </c>
    </row>
    <row r="320" spans="2:20" x14ac:dyDescent="0.2">
      <c r="B320" t="s">
        <v>622</v>
      </c>
      <c r="C320" t="s">
        <v>503</v>
      </c>
      <c r="D320">
        <v>106565140</v>
      </c>
      <c r="E320" t="s">
        <v>5</v>
      </c>
      <c r="F320" t="s">
        <v>504</v>
      </c>
      <c r="P320" t="s">
        <v>627</v>
      </c>
      <c r="Q320" t="s">
        <v>113</v>
      </c>
      <c r="R320">
        <v>106570052</v>
      </c>
      <c r="S320" t="s">
        <v>5</v>
      </c>
      <c r="T320" t="s">
        <v>114</v>
      </c>
    </row>
    <row r="321" spans="2:20" x14ac:dyDescent="0.2">
      <c r="B321" t="s">
        <v>622</v>
      </c>
      <c r="C321" t="s">
        <v>205</v>
      </c>
      <c r="D321">
        <v>106565230</v>
      </c>
      <c r="E321" t="s">
        <v>5</v>
      </c>
      <c r="F321" t="s">
        <v>206</v>
      </c>
      <c r="P321" t="s">
        <v>627</v>
      </c>
      <c r="Q321" t="s">
        <v>199</v>
      </c>
      <c r="R321">
        <v>106570356</v>
      </c>
      <c r="S321" t="s">
        <v>5</v>
      </c>
      <c r="T321" t="s">
        <v>200</v>
      </c>
    </row>
    <row r="322" spans="2:20" x14ac:dyDescent="0.2">
      <c r="B322" t="s">
        <v>622</v>
      </c>
      <c r="C322" t="s">
        <v>354</v>
      </c>
      <c r="D322">
        <v>106565454</v>
      </c>
      <c r="E322" t="s">
        <v>5</v>
      </c>
      <c r="F322" t="s">
        <v>355</v>
      </c>
      <c r="P322" t="s">
        <v>627</v>
      </c>
      <c r="Q322" t="s">
        <v>247</v>
      </c>
      <c r="R322">
        <v>106570373</v>
      </c>
      <c r="S322" t="s">
        <v>5</v>
      </c>
      <c r="T322" t="s">
        <v>248</v>
      </c>
    </row>
    <row r="323" spans="2:20" x14ac:dyDescent="0.2">
      <c r="B323" t="s">
        <v>622</v>
      </c>
      <c r="C323" t="s">
        <v>57</v>
      </c>
      <c r="D323">
        <v>106566325</v>
      </c>
      <c r="E323" t="s">
        <v>5</v>
      </c>
      <c r="F323" t="s">
        <v>58</v>
      </c>
      <c r="P323" t="s">
        <v>627</v>
      </c>
      <c r="Q323" t="s">
        <v>53</v>
      </c>
      <c r="R323">
        <v>106570952</v>
      </c>
      <c r="S323" t="s">
        <v>5</v>
      </c>
      <c r="T323" t="s">
        <v>54</v>
      </c>
    </row>
    <row r="324" spans="2:20" x14ac:dyDescent="0.2">
      <c r="B324" t="s">
        <v>622</v>
      </c>
      <c r="C324" t="s">
        <v>613</v>
      </c>
      <c r="D324">
        <v>106566524</v>
      </c>
      <c r="E324" t="s">
        <v>5</v>
      </c>
      <c r="F324" t="s">
        <v>614</v>
      </c>
      <c r="P324" t="s">
        <v>627</v>
      </c>
      <c r="Q324" t="s">
        <v>336</v>
      </c>
      <c r="R324">
        <v>106571436</v>
      </c>
      <c r="S324" t="s">
        <v>5</v>
      </c>
      <c r="T324" t="s">
        <v>337</v>
      </c>
    </row>
    <row r="325" spans="2:20" x14ac:dyDescent="0.2">
      <c r="B325" t="s">
        <v>622</v>
      </c>
      <c r="C325" t="s">
        <v>460</v>
      </c>
      <c r="D325">
        <v>106566794</v>
      </c>
      <c r="E325" t="s">
        <v>5</v>
      </c>
      <c r="F325" t="s">
        <v>461</v>
      </c>
      <c r="P325" t="s">
        <v>627</v>
      </c>
      <c r="Q325" t="s">
        <v>233</v>
      </c>
      <c r="R325">
        <v>106571479</v>
      </c>
      <c r="S325" t="s">
        <v>5</v>
      </c>
      <c r="T325" t="s">
        <v>234</v>
      </c>
    </row>
    <row r="326" spans="2:20" x14ac:dyDescent="0.2">
      <c r="B326" t="s">
        <v>622</v>
      </c>
      <c r="C326" t="s">
        <v>420</v>
      </c>
      <c r="D326">
        <v>106566835</v>
      </c>
      <c r="E326" t="s">
        <v>5</v>
      </c>
      <c r="F326" t="s">
        <v>421</v>
      </c>
      <c r="P326" t="s">
        <v>627</v>
      </c>
      <c r="Q326" t="s">
        <v>554</v>
      </c>
      <c r="R326">
        <v>106571899</v>
      </c>
      <c r="S326" t="s">
        <v>5</v>
      </c>
      <c r="T326" t="s">
        <v>555</v>
      </c>
    </row>
    <row r="327" spans="2:20" x14ac:dyDescent="0.2">
      <c r="B327" t="s">
        <v>622</v>
      </c>
      <c r="C327" t="s">
        <v>480</v>
      </c>
      <c r="D327">
        <v>106566905</v>
      </c>
      <c r="E327" t="s">
        <v>5</v>
      </c>
      <c r="F327" t="s">
        <v>481</v>
      </c>
      <c r="P327" t="s">
        <v>627</v>
      </c>
      <c r="Q327" t="s">
        <v>207</v>
      </c>
      <c r="R327">
        <v>106571905</v>
      </c>
      <c r="S327" t="s">
        <v>5</v>
      </c>
      <c r="T327" t="s">
        <v>208</v>
      </c>
    </row>
    <row r="328" spans="2:20" x14ac:dyDescent="0.2">
      <c r="B328" t="s">
        <v>622</v>
      </c>
      <c r="C328" t="s">
        <v>609</v>
      </c>
      <c r="D328">
        <v>106567053</v>
      </c>
      <c r="E328" t="s">
        <v>5</v>
      </c>
      <c r="F328" t="s">
        <v>610</v>
      </c>
      <c r="P328" t="s">
        <v>627</v>
      </c>
      <c r="Q328" t="s">
        <v>277</v>
      </c>
      <c r="R328">
        <v>106573123</v>
      </c>
      <c r="S328" t="s">
        <v>5</v>
      </c>
      <c r="T328" t="s">
        <v>278</v>
      </c>
    </row>
    <row r="329" spans="2:20" x14ac:dyDescent="0.2">
      <c r="B329" t="s">
        <v>622</v>
      </c>
      <c r="C329" t="s">
        <v>13</v>
      </c>
      <c r="D329">
        <v>106567382</v>
      </c>
      <c r="E329" t="s">
        <v>5</v>
      </c>
      <c r="F329" t="s">
        <v>14</v>
      </c>
      <c r="P329" t="s">
        <v>627</v>
      </c>
      <c r="Q329" t="s">
        <v>595</v>
      </c>
      <c r="R329">
        <v>106574888</v>
      </c>
      <c r="S329" t="s">
        <v>5</v>
      </c>
      <c r="T329" t="s">
        <v>596</v>
      </c>
    </row>
    <row r="330" spans="2:20" x14ac:dyDescent="0.2">
      <c r="B330" t="s">
        <v>622</v>
      </c>
      <c r="C330" t="s">
        <v>79</v>
      </c>
      <c r="D330">
        <v>106567520</v>
      </c>
      <c r="E330" t="s">
        <v>5</v>
      </c>
      <c r="F330" t="s">
        <v>80</v>
      </c>
      <c r="P330" t="s">
        <v>627</v>
      </c>
      <c r="Q330" t="s">
        <v>474</v>
      </c>
      <c r="R330">
        <v>106574923</v>
      </c>
      <c r="S330" t="s">
        <v>5</v>
      </c>
      <c r="T330" t="s">
        <v>475</v>
      </c>
    </row>
    <row r="331" spans="2:20" x14ac:dyDescent="0.2">
      <c r="B331" t="s">
        <v>622</v>
      </c>
      <c r="C331" t="s">
        <v>468</v>
      </c>
      <c r="D331">
        <v>106567700</v>
      </c>
      <c r="E331" t="s">
        <v>5</v>
      </c>
      <c r="F331" t="s">
        <v>469</v>
      </c>
      <c r="P331" t="s">
        <v>627</v>
      </c>
      <c r="Q331" t="s">
        <v>155</v>
      </c>
      <c r="R331">
        <v>106575554</v>
      </c>
      <c r="S331" t="s">
        <v>5</v>
      </c>
      <c r="T331" t="s">
        <v>156</v>
      </c>
    </row>
    <row r="332" spans="2:20" x14ac:dyDescent="0.2">
      <c r="B332" t="s">
        <v>622</v>
      </c>
      <c r="C332" t="s">
        <v>181</v>
      </c>
      <c r="D332">
        <v>106567945</v>
      </c>
      <c r="E332" t="s">
        <v>5</v>
      </c>
      <c r="F332" t="s">
        <v>182</v>
      </c>
      <c r="P332" t="s">
        <v>627</v>
      </c>
      <c r="Q332" t="s">
        <v>527</v>
      </c>
      <c r="R332">
        <v>106576269</v>
      </c>
      <c r="S332" t="s">
        <v>5</v>
      </c>
      <c r="T332" t="s">
        <v>528</v>
      </c>
    </row>
    <row r="333" spans="2:20" x14ac:dyDescent="0.2">
      <c r="B333" t="s">
        <v>622</v>
      </c>
      <c r="C333" t="s">
        <v>378</v>
      </c>
      <c r="D333">
        <v>106568674</v>
      </c>
      <c r="E333" t="s">
        <v>5</v>
      </c>
      <c r="F333" t="s">
        <v>379</v>
      </c>
      <c r="P333" t="s">
        <v>627</v>
      </c>
      <c r="Q333" t="s">
        <v>476</v>
      </c>
      <c r="R333">
        <v>106577129</v>
      </c>
      <c r="S333" t="s">
        <v>5</v>
      </c>
      <c r="T333" t="s">
        <v>477</v>
      </c>
    </row>
    <row r="334" spans="2:20" x14ac:dyDescent="0.2">
      <c r="B334" t="s">
        <v>622</v>
      </c>
      <c r="C334" t="s">
        <v>115</v>
      </c>
      <c r="D334">
        <v>106568949</v>
      </c>
      <c r="E334" t="s">
        <v>5</v>
      </c>
      <c r="F334" t="s">
        <v>116</v>
      </c>
      <c r="P334" t="s">
        <v>627</v>
      </c>
      <c r="Q334" t="s">
        <v>342</v>
      </c>
      <c r="R334">
        <v>106577251</v>
      </c>
      <c r="S334" t="s">
        <v>5</v>
      </c>
      <c r="T334" t="s">
        <v>343</v>
      </c>
    </row>
    <row r="335" spans="2:20" x14ac:dyDescent="0.2">
      <c r="B335" t="s">
        <v>622</v>
      </c>
      <c r="C335" t="s">
        <v>366</v>
      </c>
      <c r="D335">
        <v>106569340</v>
      </c>
      <c r="E335" t="s">
        <v>5</v>
      </c>
      <c r="F335" t="s">
        <v>367</v>
      </c>
      <c r="P335" t="s">
        <v>627</v>
      </c>
      <c r="Q335" t="s">
        <v>185</v>
      </c>
      <c r="R335">
        <v>106577635</v>
      </c>
      <c r="S335" t="s">
        <v>5</v>
      </c>
      <c r="T335" t="s">
        <v>186</v>
      </c>
    </row>
    <row r="336" spans="2:20" x14ac:dyDescent="0.2">
      <c r="B336" t="s">
        <v>622</v>
      </c>
      <c r="C336" t="s">
        <v>492</v>
      </c>
      <c r="D336">
        <v>106569535</v>
      </c>
      <c r="E336" t="s">
        <v>5</v>
      </c>
      <c r="F336" t="s">
        <v>493</v>
      </c>
      <c r="P336" t="s">
        <v>627</v>
      </c>
      <c r="Q336" t="s">
        <v>414</v>
      </c>
      <c r="R336">
        <v>106579219</v>
      </c>
      <c r="S336" t="s">
        <v>5</v>
      </c>
      <c r="T336" t="s">
        <v>415</v>
      </c>
    </row>
    <row r="337" spans="2:20" x14ac:dyDescent="0.2">
      <c r="B337" t="s">
        <v>622</v>
      </c>
      <c r="C337" t="s">
        <v>259</v>
      </c>
      <c r="D337">
        <v>106571474</v>
      </c>
      <c r="E337" t="s">
        <v>5</v>
      </c>
      <c r="F337" t="s">
        <v>260</v>
      </c>
      <c r="P337" t="s">
        <v>627</v>
      </c>
      <c r="Q337" t="s">
        <v>490</v>
      </c>
      <c r="R337">
        <v>106579286</v>
      </c>
      <c r="S337" t="s">
        <v>5</v>
      </c>
      <c r="T337" t="s">
        <v>491</v>
      </c>
    </row>
    <row r="338" spans="2:20" x14ac:dyDescent="0.2">
      <c r="B338" t="s">
        <v>622</v>
      </c>
      <c r="C338" t="s">
        <v>576</v>
      </c>
      <c r="D338">
        <v>106572042</v>
      </c>
      <c r="E338" t="s">
        <v>5</v>
      </c>
      <c r="F338" t="s">
        <v>577</v>
      </c>
      <c r="P338" t="s">
        <v>627</v>
      </c>
      <c r="Q338" t="s">
        <v>213</v>
      </c>
      <c r="R338">
        <v>106579422</v>
      </c>
      <c r="S338" t="s">
        <v>5</v>
      </c>
      <c r="T338" t="s">
        <v>214</v>
      </c>
    </row>
    <row r="339" spans="2:20" x14ac:dyDescent="0.2">
      <c r="B339" t="s">
        <v>622</v>
      </c>
      <c r="C339" t="s">
        <v>541</v>
      </c>
      <c r="D339">
        <v>106572046</v>
      </c>
      <c r="E339" t="s">
        <v>5</v>
      </c>
      <c r="F339" t="s">
        <v>542</v>
      </c>
      <c r="P339" t="s">
        <v>627</v>
      </c>
      <c r="Q339" t="s">
        <v>330</v>
      </c>
      <c r="R339">
        <v>106579471</v>
      </c>
      <c r="S339" t="s">
        <v>5</v>
      </c>
      <c r="T339" t="s">
        <v>331</v>
      </c>
    </row>
    <row r="340" spans="2:20" x14ac:dyDescent="0.2">
      <c r="B340" t="s">
        <v>622</v>
      </c>
      <c r="C340" t="s">
        <v>285</v>
      </c>
      <c r="D340">
        <v>106572261</v>
      </c>
      <c r="E340" t="s">
        <v>5</v>
      </c>
      <c r="F340" t="s">
        <v>286</v>
      </c>
      <c r="P340" t="s">
        <v>627</v>
      </c>
      <c r="Q340" t="s">
        <v>195</v>
      </c>
      <c r="R340">
        <v>106579916</v>
      </c>
      <c r="S340" t="s">
        <v>5</v>
      </c>
      <c r="T340" t="s">
        <v>196</v>
      </c>
    </row>
    <row r="341" spans="2:20" x14ac:dyDescent="0.2">
      <c r="B341" t="s">
        <v>622</v>
      </c>
      <c r="C341" t="s">
        <v>105</v>
      </c>
      <c r="D341">
        <v>106572388</v>
      </c>
      <c r="E341" t="s">
        <v>5</v>
      </c>
      <c r="F341" t="s">
        <v>106</v>
      </c>
      <c r="P341" t="s">
        <v>627</v>
      </c>
      <c r="Q341" t="s">
        <v>221</v>
      </c>
      <c r="R341">
        <v>106580364</v>
      </c>
      <c r="S341" t="s">
        <v>5</v>
      </c>
      <c r="T341" t="s">
        <v>222</v>
      </c>
    </row>
    <row r="342" spans="2:20" x14ac:dyDescent="0.2">
      <c r="B342" t="s">
        <v>622</v>
      </c>
      <c r="C342" t="s">
        <v>350</v>
      </c>
      <c r="D342">
        <v>106572931</v>
      </c>
      <c r="E342" t="s">
        <v>5</v>
      </c>
      <c r="F342" t="s">
        <v>351</v>
      </c>
      <c r="P342" t="s">
        <v>627</v>
      </c>
      <c r="Q342" t="s">
        <v>482</v>
      </c>
      <c r="R342">
        <v>106581130</v>
      </c>
      <c r="S342" t="s">
        <v>5</v>
      </c>
      <c r="T342" t="s">
        <v>483</v>
      </c>
    </row>
    <row r="343" spans="2:20" x14ac:dyDescent="0.2">
      <c r="B343" t="s">
        <v>622</v>
      </c>
      <c r="C343" t="s">
        <v>344</v>
      </c>
      <c r="D343">
        <v>106573361</v>
      </c>
      <c r="E343" t="s">
        <v>5</v>
      </c>
      <c r="F343" t="s">
        <v>345</v>
      </c>
      <c r="P343" t="s">
        <v>627</v>
      </c>
      <c r="Q343" t="s">
        <v>117</v>
      </c>
      <c r="R343">
        <v>106581334</v>
      </c>
      <c r="S343" t="s">
        <v>5</v>
      </c>
      <c r="T343" t="s">
        <v>118</v>
      </c>
    </row>
    <row r="344" spans="2:20" x14ac:dyDescent="0.2">
      <c r="B344" t="s">
        <v>622</v>
      </c>
      <c r="C344" t="s">
        <v>179</v>
      </c>
      <c r="D344">
        <v>106573370</v>
      </c>
      <c r="E344" t="s">
        <v>5</v>
      </c>
      <c r="F344" t="s">
        <v>180</v>
      </c>
      <c r="P344" t="s">
        <v>627</v>
      </c>
      <c r="Q344" t="s">
        <v>400</v>
      </c>
      <c r="R344">
        <v>106581359</v>
      </c>
      <c r="S344" t="s">
        <v>5</v>
      </c>
      <c r="T344" t="s">
        <v>401</v>
      </c>
    </row>
    <row r="345" spans="2:20" x14ac:dyDescent="0.2">
      <c r="B345" t="s">
        <v>622</v>
      </c>
      <c r="C345" t="s">
        <v>448</v>
      </c>
      <c r="D345">
        <v>106573605</v>
      </c>
      <c r="E345" t="s">
        <v>5</v>
      </c>
      <c r="F345" t="s">
        <v>449</v>
      </c>
      <c r="P345" t="s">
        <v>627</v>
      </c>
      <c r="Q345" t="s">
        <v>125</v>
      </c>
      <c r="R345">
        <v>106582120</v>
      </c>
      <c r="S345" t="s">
        <v>5</v>
      </c>
      <c r="T345" t="s">
        <v>126</v>
      </c>
    </row>
    <row r="346" spans="2:20" x14ac:dyDescent="0.2">
      <c r="B346" t="s">
        <v>622</v>
      </c>
      <c r="C346" t="s">
        <v>398</v>
      </c>
      <c r="D346">
        <v>106573620</v>
      </c>
      <c r="E346" t="s">
        <v>5</v>
      </c>
      <c r="F346" t="s">
        <v>399</v>
      </c>
      <c r="P346" t="s">
        <v>627</v>
      </c>
      <c r="Q346" t="s">
        <v>412</v>
      </c>
      <c r="R346">
        <v>106582151</v>
      </c>
      <c r="S346" t="s">
        <v>5</v>
      </c>
      <c r="T346" t="s">
        <v>413</v>
      </c>
    </row>
    <row r="347" spans="2:20" x14ac:dyDescent="0.2">
      <c r="B347" t="s">
        <v>622</v>
      </c>
      <c r="C347" t="s">
        <v>245</v>
      </c>
      <c r="D347">
        <v>106573762</v>
      </c>
      <c r="E347" t="s">
        <v>5</v>
      </c>
      <c r="F347" t="s">
        <v>246</v>
      </c>
      <c r="P347" t="s">
        <v>627</v>
      </c>
      <c r="Q347" t="s">
        <v>17</v>
      </c>
      <c r="R347">
        <v>106582798</v>
      </c>
      <c r="S347" t="s">
        <v>5</v>
      </c>
      <c r="T347" t="s">
        <v>18</v>
      </c>
    </row>
    <row r="348" spans="2:20" x14ac:dyDescent="0.2">
      <c r="B348" t="s">
        <v>622</v>
      </c>
      <c r="C348" t="s">
        <v>416</v>
      </c>
      <c r="D348">
        <v>106573900</v>
      </c>
      <c r="E348" t="s">
        <v>5</v>
      </c>
      <c r="F348" t="s">
        <v>417</v>
      </c>
      <c r="P348" t="s">
        <v>627</v>
      </c>
      <c r="Q348" t="s">
        <v>81</v>
      </c>
      <c r="R348">
        <v>106583123</v>
      </c>
      <c r="S348" t="s">
        <v>5</v>
      </c>
      <c r="T348" t="s">
        <v>82</v>
      </c>
    </row>
    <row r="349" spans="2:20" x14ac:dyDescent="0.2">
      <c r="B349" t="s">
        <v>622</v>
      </c>
      <c r="C349" t="s">
        <v>83</v>
      </c>
      <c r="D349">
        <v>106574245</v>
      </c>
      <c r="E349" t="s">
        <v>5</v>
      </c>
      <c r="F349" t="s">
        <v>84</v>
      </c>
      <c r="P349" t="s">
        <v>627</v>
      </c>
      <c r="Q349" t="s">
        <v>159</v>
      </c>
      <c r="R349">
        <v>106583597</v>
      </c>
      <c r="S349" t="s">
        <v>5</v>
      </c>
      <c r="T349" t="s">
        <v>160</v>
      </c>
    </row>
    <row r="350" spans="2:20" x14ac:dyDescent="0.2">
      <c r="B350" t="s">
        <v>622</v>
      </c>
      <c r="C350" t="s">
        <v>299</v>
      </c>
      <c r="D350">
        <v>106574304</v>
      </c>
      <c r="E350" t="s">
        <v>5</v>
      </c>
      <c r="F350" t="s">
        <v>300</v>
      </c>
      <c r="P350" t="s">
        <v>627</v>
      </c>
      <c r="Q350" t="s">
        <v>328</v>
      </c>
      <c r="R350">
        <v>106583950</v>
      </c>
      <c r="S350" t="s">
        <v>5</v>
      </c>
      <c r="T350" t="s">
        <v>329</v>
      </c>
    </row>
    <row r="351" spans="2:20" x14ac:dyDescent="0.2">
      <c r="B351" t="s">
        <v>622</v>
      </c>
      <c r="C351" t="s">
        <v>394</v>
      </c>
      <c r="D351">
        <v>106575154</v>
      </c>
      <c r="E351" t="s">
        <v>5</v>
      </c>
      <c r="F351" t="s">
        <v>395</v>
      </c>
      <c r="P351" t="s">
        <v>627</v>
      </c>
      <c r="Q351" t="s">
        <v>99</v>
      </c>
      <c r="R351">
        <v>106584208</v>
      </c>
      <c r="S351" t="s">
        <v>5</v>
      </c>
      <c r="T351" t="s">
        <v>100</v>
      </c>
    </row>
    <row r="352" spans="2:20" x14ac:dyDescent="0.2">
      <c r="B352" t="s">
        <v>622</v>
      </c>
      <c r="C352" t="s">
        <v>29</v>
      </c>
      <c r="D352">
        <v>106575172</v>
      </c>
      <c r="E352" t="s">
        <v>5</v>
      </c>
      <c r="F352" t="s">
        <v>30</v>
      </c>
      <c r="P352" t="s">
        <v>627</v>
      </c>
      <c r="Q352" t="s">
        <v>312</v>
      </c>
      <c r="R352">
        <v>106584773</v>
      </c>
      <c r="S352" t="s">
        <v>5</v>
      </c>
      <c r="T352" t="s">
        <v>313</v>
      </c>
    </row>
    <row r="353" spans="2:20" x14ac:dyDescent="0.2">
      <c r="B353" t="s">
        <v>622</v>
      </c>
      <c r="C353" t="s">
        <v>101</v>
      </c>
      <c r="D353">
        <v>106575188</v>
      </c>
      <c r="E353" t="s">
        <v>5</v>
      </c>
      <c r="F353" t="s">
        <v>102</v>
      </c>
      <c r="P353" t="s">
        <v>627</v>
      </c>
      <c r="Q353" t="s">
        <v>133</v>
      </c>
      <c r="R353">
        <v>106585162</v>
      </c>
      <c r="S353" t="s">
        <v>5</v>
      </c>
      <c r="T353" t="s">
        <v>134</v>
      </c>
    </row>
    <row r="354" spans="2:20" x14ac:dyDescent="0.2">
      <c r="B354" t="s">
        <v>622</v>
      </c>
      <c r="C354" t="s">
        <v>436</v>
      </c>
      <c r="D354">
        <v>106575510</v>
      </c>
      <c r="E354" t="s">
        <v>5</v>
      </c>
      <c r="F354" t="s">
        <v>437</v>
      </c>
      <c r="P354" t="s">
        <v>627</v>
      </c>
      <c r="Q354" t="s">
        <v>392</v>
      </c>
      <c r="R354">
        <v>106585258</v>
      </c>
      <c r="S354" t="s">
        <v>5</v>
      </c>
      <c r="T354" t="s">
        <v>393</v>
      </c>
    </row>
    <row r="355" spans="2:20" x14ac:dyDescent="0.2">
      <c r="B355" t="s">
        <v>622</v>
      </c>
      <c r="C355" t="s">
        <v>251</v>
      </c>
      <c r="D355">
        <v>106575957</v>
      </c>
      <c r="E355" t="s">
        <v>5</v>
      </c>
      <c r="F355" t="s">
        <v>252</v>
      </c>
      <c r="P355" t="s">
        <v>627</v>
      </c>
      <c r="Q355" t="s">
        <v>507</v>
      </c>
      <c r="R355">
        <v>106585282</v>
      </c>
      <c r="S355" t="s">
        <v>5</v>
      </c>
      <c r="T355" t="s">
        <v>508</v>
      </c>
    </row>
    <row r="356" spans="2:20" x14ac:dyDescent="0.2">
      <c r="B356" t="s">
        <v>622</v>
      </c>
      <c r="C356" t="s">
        <v>225</v>
      </c>
      <c r="D356">
        <v>106576365</v>
      </c>
      <c r="E356" t="s">
        <v>5</v>
      </c>
      <c r="F356" t="s">
        <v>226</v>
      </c>
      <c r="P356" t="s">
        <v>627</v>
      </c>
      <c r="Q356" t="s">
        <v>446</v>
      </c>
      <c r="R356">
        <v>106585772</v>
      </c>
      <c r="S356" t="s">
        <v>5</v>
      </c>
      <c r="T356" t="s">
        <v>447</v>
      </c>
    </row>
    <row r="357" spans="2:20" x14ac:dyDescent="0.2">
      <c r="B357" t="s">
        <v>622</v>
      </c>
      <c r="C357" t="s">
        <v>137</v>
      </c>
      <c r="D357">
        <v>106577009</v>
      </c>
      <c r="E357" t="s">
        <v>5</v>
      </c>
      <c r="F357" t="s">
        <v>138</v>
      </c>
      <c r="P357" t="s">
        <v>627</v>
      </c>
      <c r="Q357" t="s">
        <v>135</v>
      </c>
      <c r="R357">
        <v>106586650</v>
      </c>
      <c r="S357" t="s">
        <v>5</v>
      </c>
      <c r="T357" t="s">
        <v>136</v>
      </c>
    </row>
    <row r="358" spans="2:20" x14ac:dyDescent="0.2">
      <c r="B358" t="s">
        <v>622</v>
      </c>
      <c r="C358" t="s">
        <v>578</v>
      </c>
      <c r="D358">
        <v>106577209</v>
      </c>
      <c r="E358" t="s">
        <v>5</v>
      </c>
      <c r="F358" t="s">
        <v>579</v>
      </c>
      <c r="P358" t="s">
        <v>627</v>
      </c>
      <c r="Q358" t="s">
        <v>265</v>
      </c>
      <c r="R358">
        <v>106587014</v>
      </c>
      <c r="S358" t="s">
        <v>5</v>
      </c>
      <c r="T358" t="s">
        <v>266</v>
      </c>
    </row>
    <row r="359" spans="2:20" x14ac:dyDescent="0.2">
      <c r="B359" t="s">
        <v>622</v>
      </c>
      <c r="C359" t="s">
        <v>338</v>
      </c>
      <c r="D359">
        <v>106577211</v>
      </c>
      <c r="E359" t="s">
        <v>5</v>
      </c>
      <c r="F359" t="s">
        <v>339</v>
      </c>
      <c r="P359" t="s">
        <v>627</v>
      </c>
      <c r="Q359" t="s">
        <v>55</v>
      </c>
      <c r="R359">
        <v>106587111</v>
      </c>
      <c r="S359" t="s">
        <v>5</v>
      </c>
      <c r="T359" t="s">
        <v>56</v>
      </c>
    </row>
    <row r="360" spans="2:20" x14ac:dyDescent="0.2">
      <c r="B360" t="s">
        <v>622</v>
      </c>
      <c r="C360" t="s">
        <v>316</v>
      </c>
      <c r="D360">
        <v>106577395</v>
      </c>
      <c r="E360" t="s">
        <v>5</v>
      </c>
      <c r="F360" t="s">
        <v>317</v>
      </c>
      <c r="P360" t="s">
        <v>627</v>
      </c>
      <c r="Q360" t="s">
        <v>623</v>
      </c>
      <c r="R360">
        <v>106587978</v>
      </c>
      <c r="S360" t="s">
        <v>5</v>
      </c>
      <c r="T360" t="s">
        <v>624</v>
      </c>
    </row>
    <row r="361" spans="2:20" x14ac:dyDescent="0.2">
      <c r="B361" t="s">
        <v>622</v>
      </c>
      <c r="C361" t="s">
        <v>275</v>
      </c>
      <c r="D361">
        <v>106577633</v>
      </c>
      <c r="E361" t="s">
        <v>5</v>
      </c>
      <c r="F361" t="s">
        <v>276</v>
      </c>
      <c r="P361" t="s">
        <v>627</v>
      </c>
      <c r="Q361" t="s">
        <v>499</v>
      </c>
      <c r="R361">
        <v>106588078</v>
      </c>
      <c r="S361" t="s">
        <v>5</v>
      </c>
      <c r="T361" t="s">
        <v>500</v>
      </c>
    </row>
    <row r="362" spans="2:20" x14ac:dyDescent="0.2">
      <c r="B362" t="s">
        <v>622</v>
      </c>
      <c r="C362" t="s">
        <v>289</v>
      </c>
      <c r="D362">
        <v>106578137</v>
      </c>
      <c r="E362" t="s">
        <v>5</v>
      </c>
      <c r="F362" t="s">
        <v>290</v>
      </c>
      <c r="P362" t="s">
        <v>627</v>
      </c>
      <c r="Q362" t="s">
        <v>422</v>
      </c>
      <c r="R362">
        <v>106588785</v>
      </c>
      <c r="S362" t="s">
        <v>5</v>
      </c>
      <c r="T362" t="s">
        <v>423</v>
      </c>
    </row>
    <row r="363" spans="2:20" x14ac:dyDescent="0.2">
      <c r="B363" t="s">
        <v>622</v>
      </c>
      <c r="C363" t="s">
        <v>322</v>
      </c>
      <c r="D363">
        <v>106578250</v>
      </c>
      <c r="E363" t="s">
        <v>5</v>
      </c>
      <c r="F363" t="s">
        <v>323</v>
      </c>
      <c r="P363" t="s">
        <v>627</v>
      </c>
      <c r="Q363" t="s">
        <v>203</v>
      </c>
      <c r="R363">
        <v>106589564</v>
      </c>
      <c r="S363" t="s">
        <v>5</v>
      </c>
      <c r="T363" t="s">
        <v>204</v>
      </c>
    </row>
    <row r="364" spans="2:20" x14ac:dyDescent="0.2">
      <c r="B364" t="s">
        <v>622</v>
      </c>
      <c r="C364" t="s">
        <v>607</v>
      </c>
      <c r="D364">
        <v>106578258</v>
      </c>
      <c r="E364" t="s">
        <v>5</v>
      </c>
      <c r="F364" t="s">
        <v>608</v>
      </c>
      <c r="P364" t="s">
        <v>627</v>
      </c>
      <c r="Q364" t="s">
        <v>73</v>
      </c>
      <c r="R364">
        <v>106590143</v>
      </c>
      <c r="S364" t="s">
        <v>5</v>
      </c>
      <c r="T364" t="s">
        <v>74</v>
      </c>
    </row>
    <row r="365" spans="2:20" x14ac:dyDescent="0.2">
      <c r="B365" t="s">
        <v>622</v>
      </c>
      <c r="C365" t="s">
        <v>562</v>
      </c>
      <c r="D365">
        <v>106578264</v>
      </c>
      <c r="E365" t="s">
        <v>5</v>
      </c>
      <c r="F365" t="s">
        <v>563</v>
      </c>
      <c r="P365" t="s">
        <v>627</v>
      </c>
      <c r="Q365" t="s">
        <v>93</v>
      </c>
      <c r="R365">
        <v>106590380</v>
      </c>
      <c r="S365" t="s">
        <v>5</v>
      </c>
      <c r="T365" t="s">
        <v>94</v>
      </c>
    </row>
    <row r="366" spans="2:20" x14ac:dyDescent="0.2">
      <c r="B366" t="s">
        <v>622</v>
      </c>
      <c r="C366" t="s">
        <v>410</v>
      </c>
      <c r="D366">
        <v>106578482</v>
      </c>
      <c r="E366" t="s">
        <v>5</v>
      </c>
      <c r="F366" t="s">
        <v>411</v>
      </c>
      <c r="P366" t="s">
        <v>627</v>
      </c>
      <c r="Q366" t="s">
        <v>418</v>
      </c>
      <c r="R366">
        <v>106590479</v>
      </c>
      <c r="S366" t="s">
        <v>5</v>
      </c>
      <c r="T366" t="s">
        <v>419</v>
      </c>
    </row>
    <row r="367" spans="2:20" x14ac:dyDescent="0.2">
      <c r="B367" t="s">
        <v>622</v>
      </c>
      <c r="C367" t="s">
        <v>169</v>
      </c>
      <c r="D367">
        <v>106578699</v>
      </c>
      <c r="E367" t="s">
        <v>5</v>
      </c>
      <c r="F367" t="s">
        <v>170</v>
      </c>
      <c r="P367" t="s">
        <v>627</v>
      </c>
      <c r="Q367" t="s">
        <v>519</v>
      </c>
      <c r="R367">
        <v>106592057</v>
      </c>
      <c r="S367" t="s">
        <v>5</v>
      </c>
      <c r="T367" t="s">
        <v>520</v>
      </c>
    </row>
    <row r="368" spans="2:20" x14ac:dyDescent="0.2">
      <c r="B368" t="s">
        <v>622</v>
      </c>
      <c r="C368" t="s">
        <v>370</v>
      </c>
      <c r="D368">
        <v>106578954</v>
      </c>
      <c r="E368" t="s">
        <v>5</v>
      </c>
      <c r="F368" t="s">
        <v>371</v>
      </c>
      <c r="P368" t="s">
        <v>627</v>
      </c>
      <c r="Q368" t="s">
        <v>291</v>
      </c>
      <c r="R368">
        <v>106592479</v>
      </c>
      <c r="S368" t="s">
        <v>5</v>
      </c>
      <c r="T368" t="s">
        <v>292</v>
      </c>
    </row>
    <row r="369" spans="2:20" x14ac:dyDescent="0.2">
      <c r="B369" t="s">
        <v>622</v>
      </c>
      <c r="C369" t="s">
        <v>9</v>
      </c>
      <c r="D369">
        <v>106579053</v>
      </c>
      <c r="E369" t="s">
        <v>5</v>
      </c>
      <c r="F369" t="s">
        <v>10</v>
      </c>
      <c r="P369" t="s">
        <v>627</v>
      </c>
      <c r="Q369" t="s">
        <v>271</v>
      </c>
      <c r="R369">
        <v>106592818</v>
      </c>
      <c r="S369" t="s">
        <v>5</v>
      </c>
      <c r="T369" t="s">
        <v>272</v>
      </c>
    </row>
    <row r="370" spans="2:20" x14ac:dyDescent="0.2">
      <c r="B370" t="s">
        <v>622</v>
      </c>
      <c r="C370" t="s">
        <v>310</v>
      </c>
      <c r="D370">
        <v>106579140</v>
      </c>
      <c r="E370" t="s">
        <v>5</v>
      </c>
      <c r="F370" t="s">
        <v>311</v>
      </c>
      <c r="P370" t="s">
        <v>627</v>
      </c>
      <c r="Q370" t="s">
        <v>201</v>
      </c>
      <c r="R370">
        <v>106594566</v>
      </c>
      <c r="S370" t="s">
        <v>5</v>
      </c>
      <c r="T370" t="s">
        <v>202</v>
      </c>
    </row>
    <row r="371" spans="2:20" x14ac:dyDescent="0.2">
      <c r="B371" t="s">
        <v>622</v>
      </c>
      <c r="C371" t="s">
        <v>472</v>
      </c>
      <c r="D371">
        <v>106579446</v>
      </c>
      <c r="E371" t="s">
        <v>5</v>
      </c>
      <c r="F371" t="s">
        <v>473</v>
      </c>
      <c r="P371" t="s">
        <v>627</v>
      </c>
      <c r="Q371" t="s">
        <v>314</v>
      </c>
      <c r="R371">
        <v>106595801</v>
      </c>
      <c r="S371" t="s">
        <v>5</v>
      </c>
      <c r="T371" t="s">
        <v>315</v>
      </c>
    </row>
    <row r="372" spans="2:20" x14ac:dyDescent="0.2">
      <c r="B372" t="s">
        <v>622</v>
      </c>
      <c r="C372" t="s">
        <v>458</v>
      </c>
      <c r="D372">
        <v>106579904</v>
      </c>
      <c r="E372" t="s">
        <v>5</v>
      </c>
      <c r="F372" t="s">
        <v>459</v>
      </c>
      <c r="P372" t="s">
        <v>627</v>
      </c>
      <c r="Q372" t="s">
        <v>35</v>
      </c>
      <c r="R372">
        <v>106599063</v>
      </c>
      <c r="S372" t="s">
        <v>5</v>
      </c>
      <c r="T372" t="s">
        <v>36</v>
      </c>
    </row>
    <row r="373" spans="2:20" x14ac:dyDescent="0.2">
      <c r="B373" t="s">
        <v>622</v>
      </c>
      <c r="C373" t="s">
        <v>43</v>
      </c>
      <c r="D373">
        <v>106580426</v>
      </c>
      <c r="E373" t="s">
        <v>5</v>
      </c>
      <c r="F373" t="s">
        <v>44</v>
      </c>
      <c r="P373" t="s">
        <v>627</v>
      </c>
      <c r="Q373" t="s">
        <v>574</v>
      </c>
      <c r="R373">
        <v>106600441</v>
      </c>
      <c r="S373" t="s">
        <v>5</v>
      </c>
      <c r="T373" t="s">
        <v>575</v>
      </c>
    </row>
    <row r="374" spans="2:20" x14ac:dyDescent="0.2">
      <c r="B374" t="s">
        <v>622</v>
      </c>
      <c r="C374" t="s">
        <v>560</v>
      </c>
      <c r="D374">
        <v>106580589</v>
      </c>
      <c r="E374" t="s">
        <v>5</v>
      </c>
      <c r="F374" t="s">
        <v>561</v>
      </c>
      <c r="P374" t="s">
        <v>627</v>
      </c>
      <c r="Q374" t="s">
        <v>15</v>
      </c>
      <c r="R374">
        <v>106600510</v>
      </c>
      <c r="S374" t="s">
        <v>5</v>
      </c>
      <c r="T374" t="s">
        <v>16</v>
      </c>
    </row>
    <row r="375" spans="2:20" x14ac:dyDescent="0.2">
      <c r="B375" t="s">
        <v>622</v>
      </c>
      <c r="C375" t="s">
        <v>97</v>
      </c>
      <c r="D375">
        <v>106581221</v>
      </c>
      <c r="E375" t="s">
        <v>5</v>
      </c>
      <c r="F375" t="s">
        <v>98</v>
      </c>
      <c r="P375" t="s">
        <v>627</v>
      </c>
      <c r="Q375" t="s">
        <v>601</v>
      </c>
      <c r="R375">
        <v>106600714</v>
      </c>
      <c r="S375" t="s">
        <v>5</v>
      </c>
      <c r="T375" t="s">
        <v>602</v>
      </c>
    </row>
    <row r="376" spans="2:20" x14ac:dyDescent="0.2">
      <c r="B376" t="s">
        <v>622</v>
      </c>
      <c r="C376" t="s">
        <v>59</v>
      </c>
      <c r="D376">
        <v>106581356</v>
      </c>
      <c r="E376" t="s">
        <v>5</v>
      </c>
      <c r="F376" t="s">
        <v>60</v>
      </c>
      <c r="P376" t="s">
        <v>627</v>
      </c>
      <c r="Q376" t="s">
        <v>173</v>
      </c>
      <c r="R376">
        <v>106601035</v>
      </c>
      <c r="S376" t="s">
        <v>5</v>
      </c>
      <c r="T376" t="s">
        <v>174</v>
      </c>
    </row>
    <row r="377" spans="2:20" x14ac:dyDescent="0.2">
      <c r="B377" t="s">
        <v>622</v>
      </c>
      <c r="C377" t="s">
        <v>308</v>
      </c>
      <c r="D377">
        <v>106581407</v>
      </c>
      <c r="E377" t="s">
        <v>5</v>
      </c>
      <c r="F377" t="s">
        <v>309</v>
      </c>
      <c r="P377" t="s">
        <v>627</v>
      </c>
      <c r="Q377" t="s">
        <v>484</v>
      </c>
      <c r="R377">
        <v>106601082</v>
      </c>
      <c r="S377" t="s">
        <v>5</v>
      </c>
      <c r="T377" t="s">
        <v>485</v>
      </c>
    </row>
    <row r="378" spans="2:20" x14ac:dyDescent="0.2">
      <c r="B378" t="s">
        <v>622</v>
      </c>
      <c r="C378" t="s">
        <v>11</v>
      </c>
      <c r="D378">
        <v>106582378</v>
      </c>
      <c r="E378" t="s">
        <v>5</v>
      </c>
      <c r="F378" t="s">
        <v>12</v>
      </c>
      <c r="P378" t="s">
        <v>627</v>
      </c>
      <c r="Q378" t="s">
        <v>153</v>
      </c>
      <c r="R378">
        <v>106601599</v>
      </c>
      <c r="S378" t="s">
        <v>5</v>
      </c>
      <c r="T378" t="s">
        <v>154</v>
      </c>
    </row>
    <row r="379" spans="2:20" x14ac:dyDescent="0.2">
      <c r="B379" t="s">
        <v>622</v>
      </c>
      <c r="C379" t="s">
        <v>197</v>
      </c>
      <c r="D379">
        <v>106582637</v>
      </c>
      <c r="E379" t="s">
        <v>5</v>
      </c>
      <c r="F379" t="s">
        <v>198</v>
      </c>
      <c r="P379" t="s">
        <v>627</v>
      </c>
      <c r="Q379" t="s">
        <v>103</v>
      </c>
      <c r="R379">
        <v>106601607</v>
      </c>
      <c r="S379" t="s">
        <v>5</v>
      </c>
      <c r="T379" t="s">
        <v>104</v>
      </c>
    </row>
    <row r="380" spans="2:20" x14ac:dyDescent="0.2">
      <c r="B380" t="s">
        <v>622</v>
      </c>
      <c r="C380" t="s">
        <v>501</v>
      </c>
      <c r="D380">
        <v>106582735</v>
      </c>
      <c r="E380" t="s">
        <v>5</v>
      </c>
      <c r="F380" t="s">
        <v>502</v>
      </c>
      <c r="P380" t="s">
        <v>627</v>
      </c>
      <c r="Q380" t="s">
        <v>496</v>
      </c>
      <c r="R380">
        <v>106602463</v>
      </c>
      <c r="S380" t="s">
        <v>5</v>
      </c>
      <c r="T380" t="s">
        <v>497</v>
      </c>
    </row>
    <row r="381" spans="2:20" x14ac:dyDescent="0.2">
      <c r="B381" t="s">
        <v>622</v>
      </c>
      <c r="C381" t="s">
        <v>171</v>
      </c>
      <c r="D381">
        <v>106582740</v>
      </c>
      <c r="E381" t="s">
        <v>5</v>
      </c>
      <c r="F381" t="s">
        <v>172</v>
      </c>
      <c r="P381" t="s">
        <v>627</v>
      </c>
      <c r="Q381" t="s">
        <v>279</v>
      </c>
      <c r="R381">
        <v>106603065</v>
      </c>
      <c r="S381" t="s">
        <v>5</v>
      </c>
      <c r="T381" t="s">
        <v>280</v>
      </c>
    </row>
    <row r="382" spans="2:20" x14ac:dyDescent="0.2">
      <c r="B382" t="s">
        <v>622</v>
      </c>
      <c r="C382" t="s">
        <v>63</v>
      </c>
      <c r="D382">
        <v>106582886</v>
      </c>
      <c r="E382" t="s">
        <v>5</v>
      </c>
      <c r="F382" t="s">
        <v>64</v>
      </c>
      <c r="P382" t="s">
        <v>627</v>
      </c>
      <c r="Q382" t="s">
        <v>456</v>
      </c>
      <c r="R382">
        <v>106603161</v>
      </c>
      <c r="S382" t="s">
        <v>5</v>
      </c>
      <c r="T382" t="s">
        <v>457</v>
      </c>
    </row>
    <row r="383" spans="2:20" x14ac:dyDescent="0.2">
      <c r="B383" t="s">
        <v>622</v>
      </c>
      <c r="C383" t="s">
        <v>513</v>
      </c>
      <c r="D383">
        <v>106583224</v>
      </c>
      <c r="E383" t="s">
        <v>5</v>
      </c>
      <c r="F383" t="s">
        <v>514</v>
      </c>
      <c r="P383" t="s">
        <v>627</v>
      </c>
      <c r="Q383" t="s">
        <v>374</v>
      </c>
      <c r="R383">
        <v>106603593</v>
      </c>
      <c r="S383" t="s">
        <v>5</v>
      </c>
      <c r="T383" t="s">
        <v>375</v>
      </c>
    </row>
    <row r="384" spans="2:20" x14ac:dyDescent="0.2">
      <c r="B384" t="s">
        <v>622</v>
      </c>
      <c r="C384" t="s">
        <v>217</v>
      </c>
      <c r="D384">
        <v>106583462</v>
      </c>
      <c r="E384" t="s">
        <v>5</v>
      </c>
      <c r="F384" t="s">
        <v>218</v>
      </c>
      <c r="P384" t="s">
        <v>627</v>
      </c>
      <c r="Q384" t="s">
        <v>157</v>
      </c>
      <c r="R384">
        <v>106603747</v>
      </c>
      <c r="S384" t="s">
        <v>5</v>
      </c>
      <c r="T384" t="s">
        <v>158</v>
      </c>
    </row>
    <row r="385" spans="2:20" x14ac:dyDescent="0.2">
      <c r="B385" t="s">
        <v>622</v>
      </c>
      <c r="C385" t="s">
        <v>388</v>
      </c>
      <c r="D385">
        <v>106584012</v>
      </c>
      <c r="E385" t="s">
        <v>5</v>
      </c>
      <c r="F385" t="s">
        <v>389</v>
      </c>
      <c r="P385" t="s">
        <v>627</v>
      </c>
      <c r="Q385" t="s">
        <v>231</v>
      </c>
      <c r="R385">
        <v>106603820</v>
      </c>
      <c r="S385" t="s">
        <v>5</v>
      </c>
      <c r="T385" t="s">
        <v>232</v>
      </c>
    </row>
    <row r="386" spans="2:20" x14ac:dyDescent="0.2">
      <c r="B386" t="s">
        <v>622</v>
      </c>
      <c r="C386" t="s">
        <v>149</v>
      </c>
      <c r="D386">
        <v>106584071</v>
      </c>
      <c r="E386" t="s">
        <v>5</v>
      </c>
      <c r="F386" t="s">
        <v>150</v>
      </c>
      <c r="P386" t="s">
        <v>627</v>
      </c>
      <c r="Q386" t="s">
        <v>529</v>
      </c>
      <c r="R386">
        <v>106605136</v>
      </c>
      <c r="S386" t="s">
        <v>5</v>
      </c>
      <c r="T386" t="s">
        <v>530</v>
      </c>
    </row>
    <row r="387" spans="2:20" x14ac:dyDescent="0.2">
      <c r="B387" t="s">
        <v>622</v>
      </c>
      <c r="C387" t="s">
        <v>283</v>
      </c>
      <c r="D387">
        <v>106584829</v>
      </c>
      <c r="E387" t="s">
        <v>5</v>
      </c>
      <c r="F387" t="s">
        <v>284</v>
      </c>
      <c r="P387" t="s">
        <v>627</v>
      </c>
      <c r="Q387" t="s">
        <v>67</v>
      </c>
      <c r="R387">
        <v>106605261</v>
      </c>
      <c r="S387" t="s">
        <v>5</v>
      </c>
      <c r="T387" t="s">
        <v>68</v>
      </c>
    </row>
    <row r="388" spans="2:20" x14ac:dyDescent="0.2">
      <c r="B388" t="s">
        <v>622</v>
      </c>
      <c r="C388" t="s">
        <v>39</v>
      </c>
      <c r="D388">
        <v>106586337</v>
      </c>
      <c r="E388" t="s">
        <v>5</v>
      </c>
      <c r="F388" t="s">
        <v>40</v>
      </c>
      <c r="P388" t="s">
        <v>627</v>
      </c>
      <c r="Q388" t="s">
        <v>31</v>
      </c>
      <c r="R388">
        <v>106605767</v>
      </c>
      <c r="S388" t="s">
        <v>5</v>
      </c>
      <c r="T388" t="s">
        <v>32</v>
      </c>
    </row>
    <row r="389" spans="2:20" x14ac:dyDescent="0.2">
      <c r="B389" t="s">
        <v>622</v>
      </c>
      <c r="C389" t="s">
        <v>364</v>
      </c>
      <c r="D389">
        <v>106587034</v>
      </c>
      <c r="E389" t="s">
        <v>5</v>
      </c>
      <c r="F389" t="s">
        <v>365</v>
      </c>
      <c r="P389" t="s">
        <v>627</v>
      </c>
      <c r="Q389" t="s">
        <v>625</v>
      </c>
      <c r="R389">
        <v>106605854</v>
      </c>
      <c r="S389" t="s">
        <v>5</v>
      </c>
      <c r="T389" t="s">
        <v>626</v>
      </c>
    </row>
    <row r="390" spans="2:20" x14ac:dyDescent="0.2">
      <c r="B390" t="s">
        <v>622</v>
      </c>
      <c r="C390" t="s">
        <v>440</v>
      </c>
      <c r="D390">
        <v>106588110</v>
      </c>
      <c r="E390" t="s">
        <v>5</v>
      </c>
      <c r="F390" t="s">
        <v>441</v>
      </c>
      <c r="P390" t="s">
        <v>627</v>
      </c>
      <c r="Q390" t="s">
        <v>143</v>
      </c>
      <c r="R390">
        <v>106606379</v>
      </c>
      <c r="S390" t="s">
        <v>5</v>
      </c>
      <c r="T390" t="s">
        <v>144</v>
      </c>
    </row>
    <row r="391" spans="2:20" x14ac:dyDescent="0.2">
      <c r="B391" t="s">
        <v>622</v>
      </c>
      <c r="C391" t="s">
        <v>267</v>
      </c>
      <c r="D391">
        <v>106589264</v>
      </c>
      <c r="E391" t="s">
        <v>5</v>
      </c>
      <c r="F391" t="s">
        <v>268</v>
      </c>
      <c r="P391" t="s">
        <v>627</v>
      </c>
      <c r="Q391" t="s">
        <v>111</v>
      </c>
      <c r="R391">
        <v>106608120</v>
      </c>
      <c r="S391" t="s">
        <v>5</v>
      </c>
      <c r="T391" t="s">
        <v>112</v>
      </c>
    </row>
    <row r="392" spans="2:20" x14ac:dyDescent="0.2">
      <c r="B392" t="s">
        <v>622</v>
      </c>
      <c r="C392" t="s">
        <v>281</v>
      </c>
      <c r="D392">
        <v>106589390</v>
      </c>
      <c r="E392" t="s">
        <v>5</v>
      </c>
      <c r="F392" t="s">
        <v>282</v>
      </c>
      <c r="P392" t="s">
        <v>627</v>
      </c>
      <c r="Q392" t="s">
        <v>237</v>
      </c>
      <c r="R392">
        <v>106608215</v>
      </c>
      <c r="S392" t="s">
        <v>5</v>
      </c>
      <c r="T392" t="s">
        <v>238</v>
      </c>
    </row>
    <row r="393" spans="2:20" x14ac:dyDescent="0.2">
      <c r="B393" t="s">
        <v>622</v>
      </c>
      <c r="C393" t="s">
        <v>406</v>
      </c>
      <c r="D393">
        <v>106589689</v>
      </c>
      <c r="E393" t="s">
        <v>5</v>
      </c>
      <c r="F393" t="s">
        <v>407</v>
      </c>
      <c r="P393" t="s">
        <v>627</v>
      </c>
      <c r="Q393" t="s">
        <v>127</v>
      </c>
      <c r="R393">
        <v>106608398</v>
      </c>
      <c r="S393" t="s">
        <v>5</v>
      </c>
      <c r="T393" t="s">
        <v>128</v>
      </c>
    </row>
    <row r="394" spans="2:20" x14ac:dyDescent="0.2">
      <c r="B394" t="s">
        <v>622</v>
      </c>
      <c r="C394" t="s">
        <v>505</v>
      </c>
      <c r="D394">
        <v>106589820</v>
      </c>
      <c r="E394" t="s">
        <v>5</v>
      </c>
      <c r="F394" t="s">
        <v>506</v>
      </c>
      <c r="P394" t="s">
        <v>627</v>
      </c>
      <c r="Q394" t="s">
        <v>65</v>
      </c>
      <c r="R394">
        <v>106608773</v>
      </c>
      <c r="S394" t="s">
        <v>5</v>
      </c>
      <c r="T394" t="s">
        <v>66</v>
      </c>
    </row>
    <row r="395" spans="2:20" x14ac:dyDescent="0.2">
      <c r="B395" t="s">
        <v>622</v>
      </c>
      <c r="C395" t="s">
        <v>517</v>
      </c>
      <c r="D395">
        <v>106590474</v>
      </c>
      <c r="E395" t="s">
        <v>5</v>
      </c>
      <c r="F395" t="s">
        <v>518</v>
      </c>
      <c r="P395" t="s">
        <v>627</v>
      </c>
      <c r="Q395" t="s">
        <v>362</v>
      </c>
      <c r="R395">
        <v>106610660</v>
      </c>
      <c r="S395" t="s">
        <v>5</v>
      </c>
      <c r="T395" t="s">
        <v>363</v>
      </c>
    </row>
    <row r="396" spans="2:20" x14ac:dyDescent="0.2">
      <c r="B396" t="s">
        <v>622</v>
      </c>
      <c r="C396" t="s">
        <v>273</v>
      </c>
      <c r="D396">
        <v>106591125</v>
      </c>
      <c r="E396" t="s">
        <v>5</v>
      </c>
      <c r="F396" t="s">
        <v>274</v>
      </c>
      <c r="P396" t="s">
        <v>627</v>
      </c>
      <c r="Q396" t="s">
        <v>141</v>
      </c>
      <c r="R396">
        <v>106610858</v>
      </c>
      <c r="S396" t="s">
        <v>5</v>
      </c>
      <c r="T396" t="s">
        <v>142</v>
      </c>
    </row>
    <row r="397" spans="2:20" x14ac:dyDescent="0.2">
      <c r="B397" t="s">
        <v>622</v>
      </c>
      <c r="C397" t="s">
        <v>249</v>
      </c>
      <c r="D397">
        <v>106592571</v>
      </c>
      <c r="E397" t="s">
        <v>5</v>
      </c>
      <c r="F397" t="s">
        <v>250</v>
      </c>
      <c r="P397" t="s">
        <v>627</v>
      </c>
      <c r="Q397" t="s">
        <v>452</v>
      </c>
      <c r="R397">
        <v>106611443</v>
      </c>
      <c r="S397" t="s">
        <v>5</v>
      </c>
      <c r="T397" t="s">
        <v>453</v>
      </c>
    </row>
    <row r="398" spans="2:20" x14ac:dyDescent="0.2">
      <c r="B398" t="s">
        <v>622</v>
      </c>
      <c r="C398" t="s">
        <v>334</v>
      </c>
      <c r="D398">
        <v>106594520</v>
      </c>
      <c r="E398" t="s">
        <v>5</v>
      </c>
      <c r="F398" t="s">
        <v>335</v>
      </c>
      <c r="P398" t="s">
        <v>627</v>
      </c>
      <c r="Q398" t="s">
        <v>257</v>
      </c>
      <c r="R398">
        <v>106612416</v>
      </c>
      <c r="S398" t="s">
        <v>5</v>
      </c>
      <c r="T398" t="s">
        <v>258</v>
      </c>
    </row>
    <row r="399" spans="2:20" x14ac:dyDescent="0.2">
      <c r="B399" t="s">
        <v>622</v>
      </c>
      <c r="C399" t="s">
        <v>464</v>
      </c>
      <c r="D399">
        <v>106595987</v>
      </c>
      <c r="E399" t="s">
        <v>5</v>
      </c>
      <c r="F399" t="s">
        <v>465</v>
      </c>
      <c r="P399" t="s">
        <v>627</v>
      </c>
      <c r="Q399" t="s">
        <v>368</v>
      </c>
      <c r="R399">
        <v>106612954</v>
      </c>
      <c r="S399" t="s">
        <v>5</v>
      </c>
      <c r="T399" t="s">
        <v>369</v>
      </c>
    </row>
    <row r="400" spans="2:20" x14ac:dyDescent="0.2">
      <c r="B400" t="s">
        <v>622</v>
      </c>
      <c r="C400" t="s">
        <v>320</v>
      </c>
      <c r="D400">
        <v>106598808</v>
      </c>
      <c r="E400" t="s">
        <v>5</v>
      </c>
      <c r="F400" t="s">
        <v>321</v>
      </c>
      <c r="P400" t="s">
        <v>627</v>
      </c>
      <c r="Q400" t="s">
        <v>187</v>
      </c>
      <c r="R400">
        <v>106613000</v>
      </c>
      <c r="S400" t="s">
        <v>5</v>
      </c>
      <c r="T400" t="s">
        <v>188</v>
      </c>
    </row>
    <row r="401" spans="2:20" x14ac:dyDescent="0.2">
      <c r="B401" t="s">
        <v>622</v>
      </c>
      <c r="C401" t="s">
        <v>297</v>
      </c>
      <c r="D401">
        <v>106599005</v>
      </c>
      <c r="E401" t="s">
        <v>5</v>
      </c>
      <c r="F401" t="s">
        <v>298</v>
      </c>
      <c r="P401" t="s">
        <v>627</v>
      </c>
      <c r="Q401" t="s">
        <v>488</v>
      </c>
      <c r="R401">
        <v>106613111</v>
      </c>
      <c r="S401" t="s">
        <v>5</v>
      </c>
      <c r="T401" t="s">
        <v>489</v>
      </c>
    </row>
    <row r="402" spans="2:20" x14ac:dyDescent="0.2">
      <c r="B402" t="s">
        <v>622</v>
      </c>
      <c r="C402" t="s">
        <v>287</v>
      </c>
      <c r="D402">
        <v>106599874</v>
      </c>
      <c r="E402" t="s">
        <v>5</v>
      </c>
      <c r="F402" t="s">
        <v>288</v>
      </c>
      <c r="P402" t="s">
        <v>627</v>
      </c>
      <c r="Q402" t="s">
        <v>390</v>
      </c>
      <c r="R402">
        <v>106613172</v>
      </c>
      <c r="S402" t="s">
        <v>5</v>
      </c>
      <c r="T402" t="s">
        <v>391</v>
      </c>
    </row>
    <row r="403" spans="2:20" x14ac:dyDescent="0.2">
      <c r="B403" t="s">
        <v>622</v>
      </c>
      <c r="C403" t="s">
        <v>45</v>
      </c>
      <c r="D403">
        <v>106599971</v>
      </c>
      <c r="E403" t="s">
        <v>5</v>
      </c>
      <c r="F403" t="s">
        <v>46</v>
      </c>
      <c r="P403" t="s">
        <v>627</v>
      </c>
      <c r="Q403" t="s">
        <v>537</v>
      </c>
      <c r="R403">
        <v>106613227</v>
      </c>
      <c r="S403" t="s">
        <v>5</v>
      </c>
      <c r="T403" t="s">
        <v>538</v>
      </c>
    </row>
    <row r="404" spans="2:20" x14ac:dyDescent="0.2">
      <c r="B404" t="s">
        <v>622</v>
      </c>
      <c r="C404" t="s">
        <v>77</v>
      </c>
      <c r="D404">
        <v>106600405</v>
      </c>
      <c r="E404" t="s">
        <v>5</v>
      </c>
      <c r="F404" t="s">
        <v>78</v>
      </c>
    </row>
    <row r="405" spans="2:20" x14ac:dyDescent="0.2">
      <c r="B405" t="s">
        <v>622</v>
      </c>
      <c r="C405" t="s">
        <v>462</v>
      </c>
      <c r="D405">
        <v>106601546</v>
      </c>
      <c r="E405" t="s">
        <v>5</v>
      </c>
      <c r="F405" t="s">
        <v>463</v>
      </c>
    </row>
    <row r="406" spans="2:20" x14ac:dyDescent="0.2">
      <c r="B406" t="s">
        <v>622</v>
      </c>
      <c r="C406" t="s">
        <v>545</v>
      </c>
      <c r="D406">
        <v>106601908</v>
      </c>
      <c r="E406" t="s">
        <v>5</v>
      </c>
      <c r="F406" t="s">
        <v>546</v>
      </c>
    </row>
    <row r="407" spans="2:20" x14ac:dyDescent="0.2">
      <c r="B407" t="s">
        <v>622</v>
      </c>
      <c r="C407" t="s">
        <v>356</v>
      </c>
      <c r="D407">
        <v>106602694</v>
      </c>
      <c r="E407" t="s">
        <v>5</v>
      </c>
      <c r="F407" t="s">
        <v>357</v>
      </c>
    </row>
    <row r="408" spans="2:20" x14ac:dyDescent="0.2">
      <c r="B408" t="s">
        <v>622</v>
      </c>
      <c r="C408" t="s">
        <v>241</v>
      </c>
      <c r="D408">
        <v>106602804</v>
      </c>
      <c r="E408" t="s">
        <v>5</v>
      </c>
      <c r="F408" t="s">
        <v>242</v>
      </c>
    </row>
    <row r="409" spans="2:20" x14ac:dyDescent="0.2">
      <c r="B409" t="s">
        <v>622</v>
      </c>
      <c r="C409" t="s">
        <v>219</v>
      </c>
      <c r="D409">
        <v>106602818</v>
      </c>
      <c r="E409" t="s">
        <v>5</v>
      </c>
      <c r="F409" t="s">
        <v>220</v>
      </c>
    </row>
    <row r="410" spans="2:20" x14ac:dyDescent="0.2">
      <c r="B410" t="s">
        <v>622</v>
      </c>
      <c r="C410" t="s">
        <v>543</v>
      </c>
      <c r="D410">
        <v>106602915</v>
      </c>
      <c r="E410" t="s">
        <v>5</v>
      </c>
      <c r="F410" t="s">
        <v>544</v>
      </c>
    </row>
    <row r="411" spans="2:20" x14ac:dyDescent="0.2">
      <c r="B411" t="s">
        <v>622</v>
      </c>
      <c r="C411" t="s">
        <v>7</v>
      </c>
      <c r="D411">
        <v>106603053</v>
      </c>
      <c r="E411" t="s">
        <v>5</v>
      </c>
      <c r="F411" t="s">
        <v>8</v>
      </c>
    </row>
    <row r="412" spans="2:20" x14ac:dyDescent="0.2">
      <c r="B412" t="s">
        <v>622</v>
      </c>
      <c r="C412" t="s">
        <v>165</v>
      </c>
      <c r="D412">
        <v>106603540</v>
      </c>
      <c r="E412" t="s">
        <v>5</v>
      </c>
      <c r="F412" t="s">
        <v>166</v>
      </c>
    </row>
    <row r="413" spans="2:20" x14ac:dyDescent="0.2">
      <c r="B413" t="s">
        <v>622</v>
      </c>
      <c r="C413" t="s">
        <v>301</v>
      </c>
      <c r="D413">
        <v>106605415</v>
      </c>
      <c r="E413" t="s">
        <v>5</v>
      </c>
      <c r="F413" t="s">
        <v>302</v>
      </c>
    </row>
    <row r="414" spans="2:20" x14ac:dyDescent="0.2">
      <c r="B414" t="s">
        <v>622</v>
      </c>
      <c r="C414" t="s">
        <v>223</v>
      </c>
      <c r="D414">
        <v>106605516</v>
      </c>
      <c r="E414" t="s">
        <v>5</v>
      </c>
      <c r="F414" t="s">
        <v>224</v>
      </c>
    </row>
    <row r="415" spans="2:20" x14ac:dyDescent="0.2">
      <c r="B415" t="s">
        <v>622</v>
      </c>
      <c r="C415" t="s">
        <v>402</v>
      </c>
      <c r="D415">
        <v>106605527</v>
      </c>
      <c r="E415" t="s">
        <v>5</v>
      </c>
      <c r="F415" t="s">
        <v>403</v>
      </c>
    </row>
    <row r="416" spans="2:20" x14ac:dyDescent="0.2">
      <c r="B416" t="s">
        <v>622</v>
      </c>
      <c r="C416" t="s">
        <v>85</v>
      </c>
      <c r="D416">
        <v>106606872</v>
      </c>
      <c r="E416" t="s">
        <v>5</v>
      </c>
      <c r="F416" t="s">
        <v>86</v>
      </c>
    </row>
    <row r="417" spans="2:6" x14ac:dyDescent="0.2">
      <c r="B417" t="s">
        <v>622</v>
      </c>
      <c r="C417" t="s">
        <v>382</v>
      </c>
      <c r="D417">
        <v>106607067</v>
      </c>
      <c r="E417" t="s">
        <v>5</v>
      </c>
      <c r="F417" t="s">
        <v>383</v>
      </c>
    </row>
    <row r="418" spans="2:6" x14ac:dyDescent="0.2">
      <c r="B418" t="s">
        <v>622</v>
      </c>
      <c r="C418" t="s">
        <v>509</v>
      </c>
      <c r="D418">
        <v>106607213</v>
      </c>
      <c r="E418" t="s">
        <v>5</v>
      </c>
      <c r="F418" t="s">
        <v>510</v>
      </c>
    </row>
    <row r="419" spans="2:6" x14ac:dyDescent="0.2">
      <c r="B419" t="s">
        <v>622</v>
      </c>
      <c r="C419" t="s">
        <v>255</v>
      </c>
      <c r="D419">
        <v>106607305</v>
      </c>
      <c r="E419" t="s">
        <v>5</v>
      </c>
      <c r="F419" t="s">
        <v>256</v>
      </c>
    </row>
    <row r="420" spans="2:6" x14ac:dyDescent="0.2">
      <c r="B420" t="s">
        <v>622</v>
      </c>
      <c r="C420" t="s">
        <v>589</v>
      </c>
      <c r="D420">
        <v>106607324</v>
      </c>
      <c r="E420" t="s">
        <v>5</v>
      </c>
      <c r="F420" t="s">
        <v>590</v>
      </c>
    </row>
    <row r="421" spans="2:6" x14ac:dyDescent="0.2">
      <c r="B421" t="s">
        <v>622</v>
      </c>
      <c r="C421" t="s">
        <v>91</v>
      </c>
      <c r="D421">
        <v>106607369</v>
      </c>
      <c r="E421" t="s">
        <v>5</v>
      </c>
      <c r="F421" t="s">
        <v>92</v>
      </c>
    </row>
    <row r="422" spans="2:6" x14ac:dyDescent="0.2">
      <c r="B422" t="s">
        <v>622</v>
      </c>
      <c r="C422" t="s">
        <v>318</v>
      </c>
      <c r="D422">
        <v>106607890</v>
      </c>
      <c r="E422" t="s">
        <v>5</v>
      </c>
      <c r="F422" t="s">
        <v>319</v>
      </c>
    </row>
    <row r="423" spans="2:6" x14ac:dyDescent="0.2">
      <c r="B423" t="s">
        <v>622</v>
      </c>
      <c r="C423" t="s">
        <v>605</v>
      </c>
      <c r="D423">
        <v>106608511</v>
      </c>
      <c r="E423" t="s">
        <v>5</v>
      </c>
      <c r="F423" t="s">
        <v>606</v>
      </c>
    </row>
    <row r="424" spans="2:6" x14ac:dyDescent="0.2">
      <c r="B424" t="s">
        <v>622</v>
      </c>
      <c r="C424" t="s">
        <v>539</v>
      </c>
      <c r="D424">
        <v>106608778</v>
      </c>
      <c r="E424" t="s">
        <v>5</v>
      </c>
      <c r="F424" t="s">
        <v>540</v>
      </c>
    </row>
    <row r="425" spans="2:6" x14ac:dyDescent="0.2">
      <c r="B425" t="s">
        <v>622</v>
      </c>
      <c r="C425" t="s">
        <v>303</v>
      </c>
      <c r="D425">
        <v>106609140</v>
      </c>
      <c r="E425" t="s">
        <v>5</v>
      </c>
      <c r="F425" t="s">
        <v>304</v>
      </c>
    </row>
    <row r="426" spans="2:6" x14ac:dyDescent="0.2">
      <c r="B426" t="s">
        <v>622</v>
      </c>
      <c r="C426" t="s">
        <v>303</v>
      </c>
      <c r="D426">
        <v>106609141</v>
      </c>
      <c r="E426" t="s">
        <v>5</v>
      </c>
      <c r="F426" t="s">
        <v>305</v>
      </c>
    </row>
    <row r="427" spans="2:6" x14ac:dyDescent="0.2">
      <c r="B427" t="s">
        <v>622</v>
      </c>
      <c r="C427" t="s">
        <v>47</v>
      </c>
      <c r="D427">
        <v>106609471</v>
      </c>
      <c r="E427" t="s">
        <v>5</v>
      </c>
      <c r="F427" t="s">
        <v>48</v>
      </c>
    </row>
    <row r="428" spans="2:6" x14ac:dyDescent="0.2">
      <c r="B428" t="s">
        <v>622</v>
      </c>
      <c r="C428" t="s">
        <v>41</v>
      </c>
      <c r="D428">
        <v>106609475</v>
      </c>
      <c r="E428" t="s">
        <v>5</v>
      </c>
      <c r="F428" t="s">
        <v>42</v>
      </c>
    </row>
    <row r="429" spans="2:6" x14ac:dyDescent="0.2">
      <c r="B429" t="s">
        <v>622</v>
      </c>
      <c r="C429" t="s">
        <v>348</v>
      </c>
      <c r="D429">
        <v>106609967</v>
      </c>
      <c r="E429" t="s">
        <v>5</v>
      </c>
      <c r="F429" t="s">
        <v>349</v>
      </c>
    </row>
    <row r="430" spans="2:6" x14ac:dyDescent="0.2">
      <c r="B430" t="s">
        <v>622</v>
      </c>
      <c r="C430" t="s">
        <v>4</v>
      </c>
      <c r="D430">
        <v>106609995</v>
      </c>
      <c r="E430" t="s">
        <v>5</v>
      </c>
      <c r="F430" t="s">
        <v>6</v>
      </c>
    </row>
    <row r="431" spans="2:6" x14ac:dyDescent="0.2">
      <c r="B431" t="s">
        <v>622</v>
      </c>
      <c r="C431" t="s">
        <v>71</v>
      </c>
      <c r="D431">
        <v>106610734</v>
      </c>
      <c r="E431" t="s">
        <v>5</v>
      </c>
      <c r="F431" t="s">
        <v>72</v>
      </c>
    </row>
    <row r="432" spans="2:6" x14ac:dyDescent="0.2">
      <c r="B432" t="s">
        <v>622</v>
      </c>
      <c r="C432" t="s">
        <v>611</v>
      </c>
      <c r="D432">
        <v>106612044</v>
      </c>
      <c r="E432" t="s">
        <v>5</v>
      </c>
      <c r="F432" t="s">
        <v>612</v>
      </c>
    </row>
    <row r="433" spans="2:6" x14ac:dyDescent="0.2">
      <c r="B433" t="s">
        <v>622</v>
      </c>
      <c r="C433" t="s">
        <v>478</v>
      </c>
      <c r="D433">
        <v>106612512</v>
      </c>
      <c r="E433" t="s">
        <v>5</v>
      </c>
      <c r="F433" t="s">
        <v>479</v>
      </c>
    </row>
    <row r="434" spans="2:6" x14ac:dyDescent="0.2">
      <c r="B434" t="s">
        <v>622</v>
      </c>
      <c r="C434" t="s">
        <v>89</v>
      </c>
      <c r="D434">
        <v>106612640</v>
      </c>
      <c r="E434" t="s">
        <v>5</v>
      </c>
      <c r="F434" t="s">
        <v>90</v>
      </c>
    </row>
    <row r="435" spans="2:6" x14ac:dyDescent="0.2">
      <c r="B435" t="s">
        <v>622</v>
      </c>
      <c r="C435" t="s">
        <v>87</v>
      </c>
      <c r="D435">
        <v>106613169</v>
      </c>
      <c r="E435" t="s">
        <v>5</v>
      </c>
      <c r="F435" t="s">
        <v>88</v>
      </c>
    </row>
    <row r="436" spans="2:6" x14ac:dyDescent="0.2">
      <c r="B436" t="s">
        <v>622</v>
      </c>
      <c r="C436" t="s">
        <v>129</v>
      </c>
      <c r="D436">
        <v>106613775</v>
      </c>
      <c r="E436" t="s">
        <v>5</v>
      </c>
      <c r="F436" t="s">
        <v>130</v>
      </c>
    </row>
    <row r="437" spans="2:6" x14ac:dyDescent="0.2">
      <c r="B437" t="s">
        <v>622</v>
      </c>
      <c r="C437" t="s">
        <v>558</v>
      </c>
      <c r="D437">
        <v>106613931</v>
      </c>
      <c r="E437" t="s">
        <v>5</v>
      </c>
      <c r="F437" t="s">
        <v>559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1CE55-1D72-41F4-9C4C-AF046F0BDEE1}">
  <dimension ref="B3:N310"/>
  <sheetViews>
    <sheetView zoomScale="68" zoomScaleNormal="68" workbookViewId="0">
      <selection activeCell="C293" sqref="C293"/>
    </sheetView>
  </sheetViews>
  <sheetFormatPr defaultRowHeight="14.25" x14ac:dyDescent="0.2"/>
  <cols>
    <col min="2" max="2" width="30.5" bestFit="1" customWidth="1"/>
    <col min="3" max="3" width="41.875" customWidth="1"/>
  </cols>
  <sheetData>
    <row r="3" spans="2:14" x14ac:dyDescent="0.2">
      <c r="B3" t="s">
        <v>628</v>
      </c>
      <c r="C3" t="s">
        <v>3</v>
      </c>
      <c r="D3" t="s">
        <v>2</v>
      </c>
      <c r="E3" t="s">
        <v>629</v>
      </c>
      <c r="F3" t="s">
        <v>630</v>
      </c>
      <c r="G3" t="s">
        <v>631</v>
      </c>
      <c r="H3" t="s">
        <v>632</v>
      </c>
      <c r="I3" t="s">
        <v>633</v>
      </c>
      <c r="J3" t="s">
        <v>634</v>
      </c>
      <c r="K3" t="s">
        <v>635</v>
      </c>
      <c r="L3" t="s">
        <v>636</v>
      </c>
      <c r="M3" t="s">
        <v>637</v>
      </c>
      <c r="N3" t="s">
        <v>638</v>
      </c>
    </row>
    <row r="4" spans="2:14" x14ac:dyDescent="0.2">
      <c r="B4" t="s">
        <v>965</v>
      </c>
      <c r="C4" t="s">
        <v>377</v>
      </c>
      <c r="D4" t="s">
        <v>5</v>
      </c>
      <c r="E4" t="s">
        <v>639</v>
      </c>
      <c r="H4" t="s">
        <v>640</v>
      </c>
      <c r="L4" t="s">
        <v>641</v>
      </c>
    </row>
    <row r="5" spans="2:14" x14ac:dyDescent="0.2">
      <c r="B5" t="s">
        <v>642</v>
      </c>
      <c r="C5" t="s">
        <v>563</v>
      </c>
      <c r="D5" t="s">
        <v>5</v>
      </c>
      <c r="E5" t="s">
        <v>639</v>
      </c>
      <c r="H5" t="s">
        <v>640</v>
      </c>
      <c r="L5" t="s">
        <v>641</v>
      </c>
    </row>
    <row r="6" spans="2:14" x14ac:dyDescent="0.2">
      <c r="B6" t="s">
        <v>966</v>
      </c>
      <c r="C6" t="s">
        <v>242</v>
      </c>
      <c r="D6" t="s">
        <v>5</v>
      </c>
      <c r="E6" t="s">
        <v>644</v>
      </c>
      <c r="L6" t="s">
        <v>645</v>
      </c>
    </row>
    <row r="7" spans="2:14" x14ac:dyDescent="0.2">
      <c r="B7" t="s">
        <v>967</v>
      </c>
      <c r="C7" t="s">
        <v>6</v>
      </c>
      <c r="D7" t="s">
        <v>5</v>
      </c>
      <c r="E7" t="s">
        <v>647</v>
      </c>
      <c r="L7" t="s">
        <v>645</v>
      </c>
    </row>
    <row r="8" spans="2:14" x14ac:dyDescent="0.2">
      <c r="B8" t="s">
        <v>968</v>
      </c>
      <c r="C8" t="s">
        <v>148</v>
      </c>
      <c r="D8" t="s">
        <v>5</v>
      </c>
      <c r="E8" t="s">
        <v>648</v>
      </c>
    </row>
    <row r="9" spans="2:14" x14ac:dyDescent="0.2">
      <c r="B9" t="s">
        <v>649</v>
      </c>
      <c r="C9" t="s">
        <v>50</v>
      </c>
      <c r="D9" t="s">
        <v>5</v>
      </c>
      <c r="E9" t="s">
        <v>650</v>
      </c>
    </row>
    <row r="10" spans="2:14" x14ac:dyDescent="0.2">
      <c r="B10" t="s">
        <v>969</v>
      </c>
      <c r="C10" t="s">
        <v>290</v>
      </c>
      <c r="D10" t="s">
        <v>5</v>
      </c>
      <c r="E10" t="s">
        <v>652</v>
      </c>
    </row>
    <row r="11" spans="2:14" x14ac:dyDescent="0.2">
      <c r="B11" t="s">
        <v>970</v>
      </c>
      <c r="C11" t="s">
        <v>379</v>
      </c>
      <c r="D11" t="s">
        <v>5</v>
      </c>
      <c r="E11" t="s">
        <v>654</v>
      </c>
    </row>
    <row r="12" spans="2:14" x14ac:dyDescent="0.2">
      <c r="B12" t="s">
        <v>971</v>
      </c>
      <c r="C12" t="s">
        <v>387</v>
      </c>
      <c r="D12" t="s">
        <v>5</v>
      </c>
      <c r="E12" t="s">
        <v>655</v>
      </c>
      <c r="H12" t="s">
        <v>656</v>
      </c>
      <c r="L12" t="s">
        <v>657</v>
      </c>
    </row>
    <row r="13" spans="2:14" x14ac:dyDescent="0.2">
      <c r="B13" t="s">
        <v>972</v>
      </c>
      <c r="C13" t="s">
        <v>473</v>
      </c>
      <c r="D13" t="s">
        <v>5</v>
      </c>
      <c r="E13" t="s">
        <v>639</v>
      </c>
      <c r="H13" t="s">
        <v>659</v>
      </c>
      <c r="L13" t="s">
        <v>660</v>
      </c>
    </row>
    <row r="14" spans="2:14" x14ac:dyDescent="0.2">
      <c r="B14" t="s">
        <v>973</v>
      </c>
      <c r="C14" t="s">
        <v>573</v>
      </c>
      <c r="D14" t="s">
        <v>5</v>
      </c>
      <c r="E14" t="s">
        <v>650</v>
      </c>
      <c r="J14" t="s">
        <v>661</v>
      </c>
      <c r="L14" t="s">
        <v>662</v>
      </c>
      <c r="N14" t="s">
        <v>663</v>
      </c>
    </row>
    <row r="15" spans="2:14" x14ac:dyDescent="0.2">
      <c r="B15" t="s">
        <v>974</v>
      </c>
      <c r="C15" t="s">
        <v>333</v>
      </c>
      <c r="D15" t="s">
        <v>5</v>
      </c>
      <c r="E15" t="s">
        <v>652</v>
      </c>
      <c r="J15" t="s">
        <v>664</v>
      </c>
      <c r="L15" t="s">
        <v>665</v>
      </c>
      <c r="M15" t="s">
        <v>666</v>
      </c>
      <c r="N15" t="s">
        <v>667</v>
      </c>
    </row>
    <row r="16" spans="2:14" x14ac:dyDescent="0.2">
      <c r="B16" t="s">
        <v>975</v>
      </c>
      <c r="C16" t="s">
        <v>222</v>
      </c>
      <c r="D16" t="s">
        <v>5</v>
      </c>
      <c r="E16" t="s">
        <v>669</v>
      </c>
    </row>
    <row r="17" spans="2:13" x14ac:dyDescent="0.2">
      <c r="B17" t="s">
        <v>976</v>
      </c>
      <c r="C17" t="s">
        <v>409</v>
      </c>
      <c r="D17" t="s">
        <v>5</v>
      </c>
      <c r="E17" t="s">
        <v>654</v>
      </c>
    </row>
    <row r="18" spans="2:13" x14ac:dyDescent="0.2">
      <c r="B18" t="s">
        <v>977</v>
      </c>
      <c r="C18" t="s">
        <v>508</v>
      </c>
      <c r="D18" t="s">
        <v>5</v>
      </c>
      <c r="E18" t="s">
        <v>670</v>
      </c>
    </row>
    <row r="19" spans="2:13" x14ac:dyDescent="0.2">
      <c r="B19" t="s">
        <v>671</v>
      </c>
      <c r="C19" t="s">
        <v>184</v>
      </c>
      <c r="D19" t="s">
        <v>5</v>
      </c>
      <c r="E19" t="s">
        <v>654</v>
      </c>
    </row>
    <row r="20" spans="2:13" x14ac:dyDescent="0.2">
      <c r="B20" t="s">
        <v>978</v>
      </c>
      <c r="C20" t="s">
        <v>351</v>
      </c>
      <c r="D20" t="s">
        <v>5</v>
      </c>
      <c r="E20" t="s">
        <v>673</v>
      </c>
    </row>
    <row r="21" spans="2:13" x14ac:dyDescent="0.2">
      <c r="B21" t="s">
        <v>674</v>
      </c>
      <c r="C21" t="s">
        <v>64</v>
      </c>
      <c r="D21" t="s">
        <v>5</v>
      </c>
      <c r="E21" t="s">
        <v>675</v>
      </c>
    </row>
    <row r="22" spans="2:13" x14ac:dyDescent="0.2">
      <c r="B22" t="s">
        <v>979</v>
      </c>
      <c r="C22" t="s">
        <v>339</v>
      </c>
      <c r="D22" t="s">
        <v>5</v>
      </c>
      <c r="E22" t="s">
        <v>652</v>
      </c>
      <c r="L22" t="s">
        <v>677</v>
      </c>
      <c r="M22" t="s">
        <v>678</v>
      </c>
    </row>
    <row r="23" spans="2:13" x14ac:dyDescent="0.2">
      <c r="B23" t="s">
        <v>980</v>
      </c>
      <c r="C23" t="s">
        <v>292</v>
      </c>
      <c r="D23" t="s">
        <v>5</v>
      </c>
      <c r="E23" t="s">
        <v>654</v>
      </c>
      <c r="L23" t="s">
        <v>677</v>
      </c>
      <c r="M23" t="s">
        <v>678</v>
      </c>
    </row>
    <row r="24" spans="2:13" x14ac:dyDescent="0.2">
      <c r="B24" t="s">
        <v>981</v>
      </c>
      <c r="C24" t="s">
        <v>317</v>
      </c>
      <c r="D24" t="s">
        <v>5</v>
      </c>
      <c r="E24" t="s">
        <v>652</v>
      </c>
    </row>
    <row r="25" spans="2:13" x14ac:dyDescent="0.2">
      <c r="B25" t="s">
        <v>982</v>
      </c>
      <c r="C25" t="s">
        <v>294</v>
      </c>
      <c r="D25" t="s">
        <v>5</v>
      </c>
      <c r="E25" t="s">
        <v>680</v>
      </c>
      <c r="H25" t="s">
        <v>681</v>
      </c>
      <c r="L25" t="s">
        <v>682</v>
      </c>
    </row>
    <row r="26" spans="2:13" x14ac:dyDescent="0.2">
      <c r="B26" t="s">
        <v>983</v>
      </c>
      <c r="C26" t="s">
        <v>347</v>
      </c>
      <c r="D26" t="s">
        <v>5</v>
      </c>
      <c r="E26" t="s">
        <v>639</v>
      </c>
      <c r="H26" t="s">
        <v>683</v>
      </c>
      <c r="K26" t="s">
        <v>684</v>
      </c>
      <c r="L26" t="s">
        <v>685</v>
      </c>
      <c r="M26" t="s">
        <v>686</v>
      </c>
    </row>
    <row r="27" spans="2:13" x14ac:dyDescent="0.2">
      <c r="B27" t="s">
        <v>687</v>
      </c>
      <c r="C27" t="s">
        <v>38</v>
      </c>
      <c r="D27" t="s">
        <v>5</v>
      </c>
      <c r="E27" t="s">
        <v>688</v>
      </c>
      <c r="H27" t="s">
        <v>683</v>
      </c>
      <c r="K27" t="s">
        <v>684</v>
      </c>
      <c r="L27" t="s">
        <v>685</v>
      </c>
      <c r="M27" t="s">
        <v>686</v>
      </c>
    </row>
    <row r="28" spans="2:13" x14ac:dyDescent="0.2">
      <c r="B28" t="s">
        <v>984</v>
      </c>
      <c r="C28" t="s">
        <v>553</v>
      </c>
      <c r="D28" t="s">
        <v>5</v>
      </c>
      <c r="E28" t="s">
        <v>652</v>
      </c>
      <c r="L28" t="s">
        <v>689</v>
      </c>
    </row>
    <row r="29" spans="2:13" x14ac:dyDescent="0.2">
      <c r="B29" t="s">
        <v>985</v>
      </c>
      <c r="C29" t="s">
        <v>445</v>
      </c>
      <c r="D29" t="s">
        <v>5</v>
      </c>
      <c r="E29" t="s">
        <v>654</v>
      </c>
      <c r="L29" t="s">
        <v>689</v>
      </c>
    </row>
    <row r="30" spans="2:13" x14ac:dyDescent="0.2">
      <c r="B30" t="s">
        <v>986</v>
      </c>
      <c r="C30" t="s">
        <v>68</v>
      </c>
      <c r="D30" t="s">
        <v>5</v>
      </c>
      <c r="E30" t="s">
        <v>673</v>
      </c>
      <c r="L30" t="s">
        <v>691</v>
      </c>
    </row>
    <row r="31" spans="2:13" x14ac:dyDescent="0.2">
      <c r="B31" t="s">
        <v>987</v>
      </c>
      <c r="C31" t="s">
        <v>413</v>
      </c>
      <c r="D31" t="s">
        <v>5</v>
      </c>
      <c r="E31" t="s">
        <v>733</v>
      </c>
      <c r="L31" t="s">
        <v>691</v>
      </c>
    </row>
    <row r="32" spans="2:13" x14ac:dyDescent="0.2">
      <c r="B32" t="s">
        <v>988</v>
      </c>
      <c r="C32" t="s">
        <v>485</v>
      </c>
      <c r="D32" t="s">
        <v>5</v>
      </c>
      <c r="E32" t="s">
        <v>700</v>
      </c>
      <c r="J32" t="s">
        <v>694</v>
      </c>
      <c r="L32" t="s">
        <v>695</v>
      </c>
      <c r="M32" t="s">
        <v>696</v>
      </c>
    </row>
    <row r="33" spans="2:14" x14ac:dyDescent="0.2">
      <c r="B33" t="s">
        <v>989</v>
      </c>
      <c r="C33" t="s">
        <v>92</v>
      </c>
      <c r="D33" t="s">
        <v>5</v>
      </c>
      <c r="E33" t="s">
        <v>693</v>
      </c>
      <c r="J33" t="s">
        <v>694</v>
      </c>
      <c r="L33" t="s">
        <v>695</v>
      </c>
      <c r="M33" t="s">
        <v>696</v>
      </c>
    </row>
    <row r="34" spans="2:14" x14ac:dyDescent="0.2">
      <c r="B34" t="s">
        <v>990</v>
      </c>
      <c r="C34" t="s">
        <v>608</v>
      </c>
      <c r="D34" t="s">
        <v>5</v>
      </c>
      <c r="E34" t="s">
        <v>639</v>
      </c>
      <c r="L34" t="s">
        <v>697</v>
      </c>
    </row>
    <row r="35" spans="2:14" x14ac:dyDescent="0.2">
      <c r="B35" t="s">
        <v>991</v>
      </c>
      <c r="C35" t="s">
        <v>415</v>
      </c>
      <c r="D35" t="s">
        <v>5</v>
      </c>
      <c r="E35" t="s">
        <v>639</v>
      </c>
      <c r="L35" t="s">
        <v>697</v>
      </c>
    </row>
    <row r="36" spans="2:14" x14ac:dyDescent="0.2">
      <c r="B36" t="s">
        <v>698</v>
      </c>
      <c r="C36" t="s">
        <v>250</v>
      </c>
      <c r="D36" t="s">
        <v>5</v>
      </c>
      <c r="E36" t="s">
        <v>699</v>
      </c>
    </row>
    <row r="37" spans="2:14" x14ac:dyDescent="0.2">
      <c r="B37" t="s">
        <v>992</v>
      </c>
      <c r="C37" t="s">
        <v>341</v>
      </c>
      <c r="D37" t="s">
        <v>5</v>
      </c>
      <c r="E37" t="s">
        <v>700</v>
      </c>
    </row>
    <row r="38" spans="2:14" x14ac:dyDescent="0.2">
      <c r="B38" t="s">
        <v>993</v>
      </c>
      <c r="C38" t="s">
        <v>94</v>
      </c>
      <c r="D38" t="s">
        <v>5</v>
      </c>
      <c r="E38" t="s">
        <v>688</v>
      </c>
    </row>
    <row r="39" spans="2:14" x14ac:dyDescent="0.2">
      <c r="B39" t="s">
        <v>994</v>
      </c>
      <c r="C39" t="s">
        <v>345</v>
      </c>
      <c r="D39" t="s">
        <v>5</v>
      </c>
      <c r="E39" t="s">
        <v>702</v>
      </c>
      <c r="H39" t="s">
        <v>703</v>
      </c>
      <c r="L39" t="s">
        <v>704</v>
      </c>
      <c r="M39" t="s">
        <v>705</v>
      </c>
    </row>
    <row r="40" spans="2:14" x14ac:dyDescent="0.2">
      <c r="B40" t="s">
        <v>995</v>
      </c>
      <c r="C40" t="s">
        <v>546</v>
      </c>
      <c r="D40" t="s">
        <v>5</v>
      </c>
      <c r="E40" t="s">
        <v>700</v>
      </c>
      <c r="H40" t="s">
        <v>703</v>
      </c>
      <c r="J40" t="s">
        <v>706</v>
      </c>
      <c r="M40" t="s">
        <v>707</v>
      </c>
    </row>
    <row r="41" spans="2:14" x14ac:dyDescent="0.2">
      <c r="B41" t="s">
        <v>708</v>
      </c>
      <c r="C41" t="s">
        <v>192</v>
      </c>
      <c r="D41" t="s">
        <v>5</v>
      </c>
      <c r="E41" t="s">
        <v>655</v>
      </c>
      <c r="H41" t="s">
        <v>703</v>
      </c>
      <c r="L41" t="s">
        <v>704</v>
      </c>
      <c r="M41" t="s">
        <v>705</v>
      </c>
    </row>
    <row r="42" spans="2:14" x14ac:dyDescent="0.2">
      <c r="B42" t="s">
        <v>996</v>
      </c>
      <c r="C42" t="s">
        <v>144</v>
      </c>
      <c r="D42" t="s">
        <v>5</v>
      </c>
      <c r="E42" t="s">
        <v>693</v>
      </c>
      <c r="H42" t="s">
        <v>703</v>
      </c>
      <c r="J42" t="s">
        <v>706</v>
      </c>
      <c r="M42" t="s">
        <v>707</v>
      </c>
    </row>
    <row r="43" spans="2:14" x14ac:dyDescent="0.2">
      <c r="B43" t="s">
        <v>997</v>
      </c>
      <c r="C43" t="s">
        <v>427</v>
      </c>
      <c r="D43" t="s">
        <v>5</v>
      </c>
      <c r="E43" t="s">
        <v>702</v>
      </c>
      <c r="H43" t="s">
        <v>703</v>
      </c>
      <c r="L43" t="s">
        <v>704</v>
      </c>
      <c r="M43" t="s">
        <v>710</v>
      </c>
    </row>
    <row r="44" spans="2:14" x14ac:dyDescent="0.2">
      <c r="B44" t="s">
        <v>711</v>
      </c>
      <c r="C44" t="s">
        <v>152</v>
      </c>
      <c r="D44" t="s">
        <v>5</v>
      </c>
      <c r="E44" t="s">
        <v>654</v>
      </c>
      <c r="L44" t="s">
        <v>712</v>
      </c>
    </row>
    <row r="45" spans="2:14" x14ac:dyDescent="0.2">
      <c r="B45" t="s">
        <v>998</v>
      </c>
      <c r="C45" t="s">
        <v>204</v>
      </c>
      <c r="D45" t="s">
        <v>5</v>
      </c>
      <c r="E45" t="s">
        <v>714</v>
      </c>
      <c r="J45" t="s">
        <v>715</v>
      </c>
      <c r="L45" t="s">
        <v>716</v>
      </c>
      <c r="M45" t="s">
        <v>717</v>
      </c>
      <c r="N45" t="s">
        <v>718</v>
      </c>
    </row>
    <row r="46" spans="2:14" x14ac:dyDescent="0.2">
      <c r="B46" t="s">
        <v>719</v>
      </c>
      <c r="C46" t="s">
        <v>212</v>
      </c>
      <c r="D46" t="s">
        <v>5</v>
      </c>
      <c r="E46" t="s">
        <v>680</v>
      </c>
      <c r="G46" t="s">
        <v>720</v>
      </c>
      <c r="H46" t="s">
        <v>721</v>
      </c>
      <c r="I46" t="s">
        <v>722</v>
      </c>
      <c r="L46" t="s">
        <v>723</v>
      </c>
    </row>
    <row r="47" spans="2:14" x14ac:dyDescent="0.2">
      <c r="B47" t="s">
        <v>999</v>
      </c>
      <c r="C47" t="s">
        <v>18</v>
      </c>
      <c r="D47" t="s">
        <v>5</v>
      </c>
      <c r="E47" t="s">
        <v>675</v>
      </c>
      <c r="L47" t="s">
        <v>724</v>
      </c>
    </row>
    <row r="48" spans="2:14" x14ac:dyDescent="0.2">
      <c r="B48" t="s">
        <v>1000</v>
      </c>
      <c r="C48" t="s">
        <v>359</v>
      </c>
      <c r="D48" t="s">
        <v>5</v>
      </c>
      <c r="E48" t="s">
        <v>693</v>
      </c>
    </row>
    <row r="49" spans="2:13" x14ac:dyDescent="0.2">
      <c r="B49" t="s">
        <v>1001</v>
      </c>
      <c r="C49" t="s">
        <v>260</v>
      </c>
      <c r="D49" t="s">
        <v>5</v>
      </c>
      <c r="E49" t="s">
        <v>726</v>
      </c>
      <c r="L49" t="s">
        <v>727</v>
      </c>
    </row>
    <row r="50" spans="2:13" x14ac:dyDescent="0.2">
      <c r="B50" t="s">
        <v>1002</v>
      </c>
      <c r="C50" t="s">
        <v>198</v>
      </c>
      <c r="D50" t="s">
        <v>5</v>
      </c>
      <c r="E50" t="s">
        <v>654</v>
      </c>
      <c r="L50" t="s">
        <v>727</v>
      </c>
    </row>
    <row r="51" spans="2:13" x14ac:dyDescent="0.2">
      <c r="B51" t="s">
        <v>1003</v>
      </c>
      <c r="C51" t="s">
        <v>319</v>
      </c>
      <c r="D51" t="s">
        <v>5</v>
      </c>
      <c r="E51" t="s">
        <v>693</v>
      </c>
      <c r="L51" t="s">
        <v>727</v>
      </c>
    </row>
    <row r="52" spans="2:13" x14ac:dyDescent="0.2">
      <c r="B52" t="s">
        <v>1004</v>
      </c>
      <c r="C52" t="s">
        <v>142</v>
      </c>
      <c r="D52" t="s">
        <v>5</v>
      </c>
      <c r="E52" t="s">
        <v>729</v>
      </c>
      <c r="L52" t="s">
        <v>727</v>
      </c>
    </row>
    <row r="53" spans="2:13" x14ac:dyDescent="0.2">
      <c r="B53" t="s">
        <v>1005</v>
      </c>
      <c r="C53" t="s">
        <v>544</v>
      </c>
      <c r="D53" t="s">
        <v>5</v>
      </c>
      <c r="E53" t="s">
        <v>644</v>
      </c>
      <c r="L53" t="s">
        <v>727</v>
      </c>
    </row>
    <row r="54" spans="2:13" x14ac:dyDescent="0.2">
      <c r="B54" t="s">
        <v>1006</v>
      </c>
      <c r="C54" t="s">
        <v>489</v>
      </c>
      <c r="D54" t="s">
        <v>5</v>
      </c>
      <c r="E54" t="s">
        <v>729</v>
      </c>
      <c r="L54" t="s">
        <v>1007</v>
      </c>
    </row>
    <row r="55" spans="2:13" x14ac:dyDescent="0.2">
      <c r="B55" t="s">
        <v>1008</v>
      </c>
      <c r="C55" t="s">
        <v>429</v>
      </c>
      <c r="D55" t="s">
        <v>5</v>
      </c>
      <c r="E55" t="s">
        <v>732</v>
      </c>
      <c r="L55" t="s">
        <v>727</v>
      </c>
    </row>
    <row r="56" spans="2:13" x14ac:dyDescent="0.2">
      <c r="B56" t="s">
        <v>1009</v>
      </c>
      <c r="C56" t="s">
        <v>447</v>
      </c>
      <c r="D56" t="s">
        <v>5</v>
      </c>
      <c r="E56" t="s">
        <v>733</v>
      </c>
      <c r="L56" t="s">
        <v>727</v>
      </c>
    </row>
    <row r="57" spans="2:13" x14ac:dyDescent="0.2">
      <c r="B57" t="s">
        <v>1010</v>
      </c>
      <c r="C57" t="s">
        <v>210</v>
      </c>
      <c r="D57" t="s">
        <v>5</v>
      </c>
      <c r="E57" t="s">
        <v>734</v>
      </c>
      <c r="H57" t="s">
        <v>735</v>
      </c>
      <c r="I57" t="s">
        <v>736</v>
      </c>
      <c r="L57" t="s">
        <v>737</v>
      </c>
      <c r="M57" t="s">
        <v>738</v>
      </c>
    </row>
    <row r="58" spans="2:13" x14ac:dyDescent="0.2">
      <c r="B58" t="s">
        <v>1011</v>
      </c>
      <c r="C58" t="s">
        <v>208</v>
      </c>
      <c r="D58" t="s">
        <v>5</v>
      </c>
      <c r="E58" t="s">
        <v>726</v>
      </c>
      <c r="H58" t="s">
        <v>735</v>
      </c>
      <c r="I58" t="s">
        <v>736</v>
      </c>
      <c r="L58" t="s">
        <v>737</v>
      </c>
      <c r="M58" t="s">
        <v>738</v>
      </c>
    </row>
    <row r="59" spans="2:13" x14ac:dyDescent="0.2">
      <c r="B59" t="s">
        <v>1012</v>
      </c>
      <c r="C59" t="s">
        <v>514</v>
      </c>
      <c r="D59" t="s">
        <v>5</v>
      </c>
      <c r="E59" t="s">
        <v>675</v>
      </c>
    </row>
    <row r="60" spans="2:13" x14ac:dyDescent="0.2">
      <c r="B60" t="s">
        <v>1013</v>
      </c>
      <c r="C60" t="s">
        <v>588</v>
      </c>
      <c r="D60" t="s">
        <v>5</v>
      </c>
      <c r="E60" t="s">
        <v>675</v>
      </c>
      <c r="H60" t="s">
        <v>735</v>
      </c>
      <c r="I60" t="s">
        <v>736</v>
      </c>
      <c r="L60" t="s">
        <v>737</v>
      </c>
      <c r="M60" t="s">
        <v>738</v>
      </c>
    </row>
    <row r="61" spans="2:13" x14ac:dyDescent="0.2">
      <c r="B61" t="s">
        <v>1014</v>
      </c>
      <c r="C61" t="s">
        <v>327</v>
      </c>
      <c r="D61" t="s">
        <v>5</v>
      </c>
      <c r="E61" t="s">
        <v>734</v>
      </c>
      <c r="J61" t="s">
        <v>740</v>
      </c>
      <c r="L61" t="s">
        <v>741</v>
      </c>
      <c r="M61" t="s">
        <v>742</v>
      </c>
    </row>
    <row r="62" spans="2:13" x14ac:dyDescent="0.2">
      <c r="B62" t="s">
        <v>1015</v>
      </c>
      <c r="C62" t="s">
        <v>230</v>
      </c>
      <c r="D62" t="s">
        <v>5</v>
      </c>
      <c r="E62" t="s">
        <v>654</v>
      </c>
    </row>
    <row r="63" spans="2:13" x14ac:dyDescent="0.2">
      <c r="B63" t="s">
        <v>1016</v>
      </c>
      <c r="C63" t="s">
        <v>425</v>
      </c>
      <c r="D63" t="s">
        <v>5</v>
      </c>
      <c r="E63" t="s">
        <v>734</v>
      </c>
    </row>
    <row r="64" spans="2:13" x14ac:dyDescent="0.2">
      <c r="B64" t="s">
        <v>1017</v>
      </c>
      <c r="C64" t="s">
        <v>122</v>
      </c>
      <c r="D64" t="s">
        <v>5</v>
      </c>
      <c r="E64" t="s">
        <v>675</v>
      </c>
      <c r="L64" t="s">
        <v>745</v>
      </c>
      <c r="M64" t="s">
        <v>746</v>
      </c>
    </row>
    <row r="65" spans="2:14" x14ac:dyDescent="0.2">
      <c r="B65" t="s">
        <v>1018</v>
      </c>
      <c r="C65" t="s">
        <v>586</v>
      </c>
      <c r="D65" t="s">
        <v>5</v>
      </c>
      <c r="E65" t="s">
        <v>732</v>
      </c>
      <c r="H65" t="s">
        <v>857</v>
      </c>
      <c r="I65" t="s">
        <v>858</v>
      </c>
      <c r="L65" t="s">
        <v>859</v>
      </c>
    </row>
    <row r="66" spans="2:14" x14ac:dyDescent="0.2">
      <c r="B66" t="s">
        <v>1019</v>
      </c>
      <c r="C66" t="s">
        <v>86</v>
      </c>
      <c r="D66" t="s">
        <v>5</v>
      </c>
      <c r="E66" t="s">
        <v>693</v>
      </c>
      <c r="J66" t="s">
        <v>748</v>
      </c>
      <c r="L66" t="s">
        <v>749</v>
      </c>
      <c r="M66" t="s">
        <v>750</v>
      </c>
      <c r="N66" t="s">
        <v>751</v>
      </c>
    </row>
    <row r="67" spans="2:14" x14ac:dyDescent="0.2">
      <c r="B67" t="s">
        <v>1020</v>
      </c>
      <c r="C67" t="s">
        <v>104</v>
      </c>
      <c r="D67" t="s">
        <v>5</v>
      </c>
      <c r="E67" t="s">
        <v>700</v>
      </c>
      <c r="J67" t="s">
        <v>748</v>
      </c>
      <c r="L67" t="s">
        <v>749</v>
      </c>
      <c r="M67" t="s">
        <v>750</v>
      </c>
      <c r="N67" t="s">
        <v>751</v>
      </c>
    </row>
    <row r="68" spans="2:14" x14ac:dyDescent="0.2">
      <c r="B68" t="s">
        <v>1021</v>
      </c>
      <c r="C68" t="s">
        <v>475</v>
      </c>
      <c r="D68" t="s">
        <v>5</v>
      </c>
      <c r="E68" t="s">
        <v>774</v>
      </c>
      <c r="J68" t="s">
        <v>748</v>
      </c>
    </row>
    <row r="69" spans="2:14" x14ac:dyDescent="0.2">
      <c r="B69" t="s">
        <v>1022</v>
      </c>
      <c r="C69" t="s">
        <v>526</v>
      </c>
      <c r="D69" t="s">
        <v>5</v>
      </c>
      <c r="E69" t="s">
        <v>702</v>
      </c>
      <c r="J69" t="s">
        <v>748</v>
      </c>
    </row>
    <row r="70" spans="2:14" x14ac:dyDescent="0.2">
      <c r="B70" t="s">
        <v>1023</v>
      </c>
      <c r="C70" t="s">
        <v>150</v>
      </c>
      <c r="D70" t="s">
        <v>5</v>
      </c>
      <c r="E70" t="s">
        <v>680</v>
      </c>
      <c r="M70" t="s">
        <v>753</v>
      </c>
    </row>
    <row r="71" spans="2:14" x14ac:dyDescent="0.2">
      <c r="B71" t="s">
        <v>1024</v>
      </c>
      <c r="C71" t="s">
        <v>323</v>
      </c>
      <c r="D71" t="s">
        <v>5</v>
      </c>
      <c r="E71" t="s">
        <v>639</v>
      </c>
      <c r="L71" t="s">
        <v>755</v>
      </c>
    </row>
    <row r="72" spans="2:14" x14ac:dyDescent="0.2">
      <c r="B72" t="s">
        <v>1025</v>
      </c>
      <c r="C72" t="s">
        <v>481</v>
      </c>
      <c r="D72" t="s">
        <v>5</v>
      </c>
      <c r="E72" t="s">
        <v>734</v>
      </c>
    </row>
    <row r="73" spans="2:14" x14ac:dyDescent="0.2">
      <c r="B73" t="s">
        <v>1026</v>
      </c>
      <c r="C73" t="s">
        <v>266</v>
      </c>
      <c r="D73" t="s">
        <v>5</v>
      </c>
      <c r="E73" t="s">
        <v>844</v>
      </c>
    </row>
    <row r="74" spans="2:14" x14ac:dyDescent="0.2">
      <c r="B74" t="s">
        <v>1027</v>
      </c>
      <c r="C74" t="s">
        <v>516</v>
      </c>
      <c r="D74" t="s">
        <v>5</v>
      </c>
      <c r="E74" t="s">
        <v>673</v>
      </c>
      <c r="M74" t="s">
        <v>756</v>
      </c>
    </row>
    <row r="75" spans="2:14" x14ac:dyDescent="0.2">
      <c r="B75" t="s">
        <v>1028</v>
      </c>
      <c r="C75" t="s">
        <v>190</v>
      </c>
      <c r="D75" t="s">
        <v>5</v>
      </c>
      <c r="E75" t="s">
        <v>732</v>
      </c>
      <c r="L75" t="s">
        <v>724</v>
      </c>
    </row>
    <row r="76" spans="2:14" x14ac:dyDescent="0.2">
      <c r="B76" t="s">
        <v>758</v>
      </c>
      <c r="C76" t="s">
        <v>26</v>
      </c>
      <c r="D76" t="s">
        <v>5</v>
      </c>
      <c r="E76" t="s">
        <v>650</v>
      </c>
      <c r="H76" t="s">
        <v>659</v>
      </c>
      <c r="L76" t="s">
        <v>660</v>
      </c>
    </row>
    <row r="77" spans="2:14" x14ac:dyDescent="0.2">
      <c r="B77" t="s">
        <v>1029</v>
      </c>
      <c r="C77" t="s">
        <v>518</v>
      </c>
      <c r="D77" t="s">
        <v>5</v>
      </c>
      <c r="E77" t="s">
        <v>688</v>
      </c>
      <c r="H77" t="s">
        <v>659</v>
      </c>
      <c r="L77" t="s">
        <v>660</v>
      </c>
    </row>
    <row r="78" spans="2:14" x14ac:dyDescent="0.2">
      <c r="B78" t="s">
        <v>760</v>
      </c>
      <c r="C78" t="s">
        <v>8</v>
      </c>
      <c r="D78" t="s">
        <v>5</v>
      </c>
      <c r="E78" t="s">
        <v>644</v>
      </c>
      <c r="H78" t="s">
        <v>659</v>
      </c>
      <c r="L78" t="s">
        <v>660</v>
      </c>
    </row>
    <row r="79" spans="2:14" x14ac:dyDescent="0.2">
      <c r="B79" t="s">
        <v>761</v>
      </c>
      <c r="C79" t="s">
        <v>96</v>
      </c>
      <c r="D79" t="s">
        <v>5</v>
      </c>
      <c r="E79" t="s">
        <v>654</v>
      </c>
      <c r="J79" t="s">
        <v>664</v>
      </c>
      <c r="L79" t="s">
        <v>762</v>
      </c>
      <c r="M79" t="s">
        <v>666</v>
      </c>
      <c r="N79" t="s">
        <v>667</v>
      </c>
    </row>
    <row r="80" spans="2:14" x14ac:dyDescent="0.2">
      <c r="B80" t="s">
        <v>763</v>
      </c>
      <c r="C80" t="s">
        <v>70</v>
      </c>
      <c r="D80" t="s">
        <v>5</v>
      </c>
      <c r="E80" t="s">
        <v>650</v>
      </c>
      <c r="J80" t="s">
        <v>664</v>
      </c>
      <c r="L80" t="s">
        <v>665</v>
      </c>
      <c r="M80" t="s">
        <v>666</v>
      </c>
      <c r="N80" t="s">
        <v>667</v>
      </c>
    </row>
    <row r="81" spans="2:14" x14ac:dyDescent="0.2">
      <c r="B81" t="s">
        <v>1030</v>
      </c>
      <c r="C81" t="s">
        <v>311</v>
      </c>
      <c r="D81" t="s">
        <v>5</v>
      </c>
      <c r="E81" t="s">
        <v>733</v>
      </c>
      <c r="J81" t="s">
        <v>765</v>
      </c>
      <c r="L81" t="s">
        <v>766</v>
      </c>
      <c r="N81" t="s">
        <v>767</v>
      </c>
    </row>
    <row r="82" spans="2:14" x14ac:dyDescent="0.2">
      <c r="B82" t="s">
        <v>1031</v>
      </c>
      <c r="C82" t="s">
        <v>403</v>
      </c>
      <c r="D82" t="s">
        <v>5</v>
      </c>
      <c r="E82" t="s">
        <v>673</v>
      </c>
      <c r="J82" t="s">
        <v>765</v>
      </c>
      <c r="L82" t="s">
        <v>766</v>
      </c>
      <c r="N82" t="s">
        <v>767</v>
      </c>
    </row>
    <row r="83" spans="2:14" x14ac:dyDescent="0.2">
      <c r="B83" t="s">
        <v>1032</v>
      </c>
      <c r="C83" t="s">
        <v>238</v>
      </c>
      <c r="D83" t="s">
        <v>5</v>
      </c>
      <c r="E83" t="s">
        <v>693</v>
      </c>
      <c r="L83" t="s">
        <v>770</v>
      </c>
      <c r="M83" t="s">
        <v>771</v>
      </c>
    </row>
    <row r="84" spans="2:14" x14ac:dyDescent="0.2">
      <c r="B84" t="s">
        <v>772</v>
      </c>
      <c r="C84" t="s">
        <v>28</v>
      </c>
      <c r="D84" t="s">
        <v>5</v>
      </c>
      <c r="E84" t="s">
        <v>655</v>
      </c>
      <c r="L84" t="s">
        <v>773</v>
      </c>
    </row>
    <row r="85" spans="2:14" x14ac:dyDescent="0.2">
      <c r="B85" t="s">
        <v>1033</v>
      </c>
      <c r="C85" t="s">
        <v>528</v>
      </c>
      <c r="D85" t="s">
        <v>5</v>
      </c>
      <c r="E85" t="s">
        <v>774</v>
      </c>
      <c r="L85" t="s">
        <v>773</v>
      </c>
    </row>
    <row r="86" spans="2:14" x14ac:dyDescent="0.2">
      <c r="B86" t="s">
        <v>775</v>
      </c>
      <c r="C86" t="s">
        <v>48</v>
      </c>
      <c r="D86" t="s">
        <v>5</v>
      </c>
      <c r="E86" t="s">
        <v>648</v>
      </c>
      <c r="L86" t="s">
        <v>773</v>
      </c>
    </row>
    <row r="87" spans="2:14" x14ac:dyDescent="0.2">
      <c r="B87" t="s">
        <v>1034</v>
      </c>
      <c r="C87" t="s">
        <v>305</v>
      </c>
      <c r="D87" t="s">
        <v>5</v>
      </c>
      <c r="E87" t="s">
        <v>648</v>
      </c>
      <c r="J87" t="s">
        <v>777</v>
      </c>
      <c r="L87" t="s">
        <v>778</v>
      </c>
      <c r="N87" t="s">
        <v>779</v>
      </c>
    </row>
    <row r="88" spans="2:14" x14ac:dyDescent="0.2">
      <c r="B88" t="s">
        <v>1035</v>
      </c>
      <c r="C88" t="s">
        <v>465</v>
      </c>
      <c r="D88" t="s">
        <v>5</v>
      </c>
      <c r="E88" t="s">
        <v>700</v>
      </c>
      <c r="J88" t="s">
        <v>781</v>
      </c>
      <c r="L88" t="s">
        <v>782</v>
      </c>
      <c r="N88" t="s">
        <v>783</v>
      </c>
    </row>
    <row r="89" spans="2:14" x14ac:dyDescent="0.2">
      <c r="B89" t="s">
        <v>1036</v>
      </c>
      <c r="C89" t="s">
        <v>455</v>
      </c>
      <c r="D89" t="s">
        <v>5</v>
      </c>
      <c r="E89" t="s">
        <v>699</v>
      </c>
      <c r="J89" t="s">
        <v>781</v>
      </c>
      <c r="L89" t="s">
        <v>784</v>
      </c>
      <c r="N89" t="s">
        <v>783</v>
      </c>
    </row>
    <row r="90" spans="2:14" x14ac:dyDescent="0.2">
      <c r="B90" t="s">
        <v>1037</v>
      </c>
      <c r="C90" t="s">
        <v>612</v>
      </c>
      <c r="D90" t="s">
        <v>5</v>
      </c>
      <c r="E90" t="s">
        <v>729</v>
      </c>
      <c r="J90" t="s">
        <v>785</v>
      </c>
      <c r="L90" t="s">
        <v>786</v>
      </c>
      <c r="N90" t="s">
        <v>751</v>
      </c>
    </row>
    <row r="91" spans="2:14" x14ac:dyDescent="0.2">
      <c r="B91" t="s">
        <v>787</v>
      </c>
      <c r="C91" t="s">
        <v>60</v>
      </c>
      <c r="D91" t="s">
        <v>5</v>
      </c>
      <c r="E91" t="s">
        <v>669</v>
      </c>
      <c r="J91" t="s">
        <v>785</v>
      </c>
      <c r="L91" t="s">
        <v>786</v>
      </c>
      <c r="N91" t="s">
        <v>751</v>
      </c>
    </row>
    <row r="92" spans="2:14" x14ac:dyDescent="0.2">
      <c r="B92" t="s">
        <v>1038</v>
      </c>
      <c r="C92" t="s">
        <v>88</v>
      </c>
      <c r="D92" t="s">
        <v>5</v>
      </c>
      <c r="E92" t="s">
        <v>729</v>
      </c>
      <c r="J92" t="s">
        <v>785</v>
      </c>
      <c r="L92" t="s">
        <v>786</v>
      </c>
      <c r="N92" t="s">
        <v>751</v>
      </c>
    </row>
    <row r="93" spans="2:14" x14ac:dyDescent="0.2">
      <c r="B93" t="s">
        <v>1039</v>
      </c>
      <c r="C93" t="s">
        <v>437</v>
      </c>
      <c r="D93" t="s">
        <v>5</v>
      </c>
      <c r="E93" t="s">
        <v>774</v>
      </c>
      <c r="J93" t="s">
        <v>785</v>
      </c>
      <c r="L93" t="s">
        <v>786</v>
      </c>
      <c r="N93" t="s">
        <v>751</v>
      </c>
    </row>
    <row r="94" spans="2:14" x14ac:dyDescent="0.2">
      <c r="B94" t="s">
        <v>1040</v>
      </c>
      <c r="C94" t="s">
        <v>156</v>
      </c>
      <c r="D94" t="s">
        <v>5</v>
      </c>
      <c r="E94" t="s">
        <v>702</v>
      </c>
      <c r="J94" t="s">
        <v>785</v>
      </c>
      <c r="L94" t="s">
        <v>786</v>
      </c>
      <c r="N94" t="s">
        <v>751</v>
      </c>
    </row>
    <row r="95" spans="2:14" x14ac:dyDescent="0.2">
      <c r="B95" t="s">
        <v>790</v>
      </c>
      <c r="C95" t="s">
        <v>108</v>
      </c>
      <c r="D95" t="s">
        <v>5</v>
      </c>
      <c r="E95" t="s">
        <v>670</v>
      </c>
      <c r="L95" t="s">
        <v>791</v>
      </c>
      <c r="M95" t="s">
        <v>792</v>
      </c>
    </row>
    <row r="96" spans="2:14" x14ac:dyDescent="0.2">
      <c r="B96" t="s">
        <v>1041</v>
      </c>
      <c r="C96" t="s">
        <v>24</v>
      </c>
      <c r="D96" t="s">
        <v>5</v>
      </c>
      <c r="E96" t="s">
        <v>734</v>
      </c>
      <c r="L96" t="s">
        <v>791</v>
      </c>
      <c r="M96" t="s">
        <v>792</v>
      </c>
    </row>
    <row r="97" spans="2:13" x14ac:dyDescent="0.2">
      <c r="B97" t="s">
        <v>1042</v>
      </c>
      <c r="C97" t="s">
        <v>158</v>
      </c>
      <c r="D97" t="s">
        <v>5</v>
      </c>
      <c r="E97" t="s">
        <v>644</v>
      </c>
      <c r="L97" t="s">
        <v>791</v>
      </c>
      <c r="M97" t="s">
        <v>792</v>
      </c>
    </row>
    <row r="98" spans="2:13" x14ac:dyDescent="0.2">
      <c r="B98" t="s">
        <v>1043</v>
      </c>
      <c r="C98" t="s">
        <v>120</v>
      </c>
      <c r="D98" t="s">
        <v>5</v>
      </c>
      <c r="E98" t="s">
        <v>734</v>
      </c>
      <c r="L98" t="s">
        <v>796</v>
      </c>
    </row>
    <row r="99" spans="2:13" x14ac:dyDescent="0.2">
      <c r="B99" t="s">
        <v>1044</v>
      </c>
      <c r="C99" t="s">
        <v>66</v>
      </c>
      <c r="D99" t="s">
        <v>5</v>
      </c>
      <c r="E99" t="s">
        <v>648</v>
      </c>
      <c r="L99" t="s">
        <v>796</v>
      </c>
    </row>
    <row r="100" spans="2:13" x14ac:dyDescent="0.2">
      <c r="B100" t="s">
        <v>1045</v>
      </c>
      <c r="C100" t="s">
        <v>575</v>
      </c>
      <c r="D100" t="s">
        <v>5</v>
      </c>
      <c r="E100" t="s">
        <v>700</v>
      </c>
      <c r="H100" t="s">
        <v>681</v>
      </c>
      <c r="L100" t="s">
        <v>682</v>
      </c>
    </row>
    <row r="101" spans="2:13" x14ac:dyDescent="0.2">
      <c r="B101" t="s">
        <v>1046</v>
      </c>
      <c r="C101" t="s">
        <v>431</v>
      </c>
      <c r="D101" t="s">
        <v>5</v>
      </c>
      <c r="E101" t="s">
        <v>675</v>
      </c>
    </row>
    <row r="102" spans="2:13" x14ac:dyDescent="0.2">
      <c r="B102" t="s">
        <v>799</v>
      </c>
      <c r="C102" t="s">
        <v>206</v>
      </c>
      <c r="D102" t="s">
        <v>5</v>
      </c>
      <c r="E102" t="s">
        <v>732</v>
      </c>
    </row>
    <row r="103" spans="2:13" x14ac:dyDescent="0.2">
      <c r="B103" t="s">
        <v>1047</v>
      </c>
      <c r="C103" t="s">
        <v>34</v>
      </c>
      <c r="D103" t="s">
        <v>5</v>
      </c>
      <c r="E103" t="s">
        <v>734</v>
      </c>
    </row>
    <row r="104" spans="2:13" x14ac:dyDescent="0.2">
      <c r="B104" t="s">
        <v>1048</v>
      </c>
      <c r="C104" t="s">
        <v>393</v>
      </c>
      <c r="D104" t="s">
        <v>5</v>
      </c>
      <c r="E104" t="s">
        <v>670</v>
      </c>
      <c r="L104" t="s">
        <v>801</v>
      </c>
    </row>
    <row r="105" spans="2:13" x14ac:dyDescent="0.2">
      <c r="B105">
        <v>106563639</v>
      </c>
      <c r="C105" t="s">
        <v>583</v>
      </c>
      <c r="D105" t="s">
        <v>5</v>
      </c>
      <c r="E105" t="s">
        <v>650</v>
      </c>
      <c r="L105" t="s">
        <v>689</v>
      </c>
    </row>
    <row r="106" spans="2:13" x14ac:dyDescent="0.2">
      <c r="B106" t="s">
        <v>802</v>
      </c>
      <c r="C106" t="s">
        <v>194</v>
      </c>
      <c r="D106" t="s">
        <v>5</v>
      </c>
      <c r="E106" t="s">
        <v>700</v>
      </c>
      <c r="L106" t="s">
        <v>689</v>
      </c>
    </row>
    <row r="107" spans="2:13" x14ac:dyDescent="0.2">
      <c r="B107" t="s">
        <v>1049</v>
      </c>
      <c r="C107" t="s">
        <v>128</v>
      </c>
      <c r="D107" t="s">
        <v>5</v>
      </c>
      <c r="E107" t="s">
        <v>652</v>
      </c>
      <c r="L107" t="s">
        <v>689</v>
      </c>
    </row>
    <row r="108" spans="2:13" x14ac:dyDescent="0.2">
      <c r="B108" t="s">
        <v>1050</v>
      </c>
      <c r="C108" t="s">
        <v>343</v>
      </c>
      <c r="D108" t="s">
        <v>5</v>
      </c>
      <c r="E108" t="s">
        <v>652</v>
      </c>
      <c r="L108" t="s">
        <v>689</v>
      </c>
    </row>
    <row r="109" spans="2:13" x14ac:dyDescent="0.2">
      <c r="B109" t="s">
        <v>1051</v>
      </c>
      <c r="C109" t="s">
        <v>381</v>
      </c>
      <c r="D109" t="s">
        <v>5</v>
      </c>
      <c r="E109" t="s">
        <v>729</v>
      </c>
      <c r="L109" t="s">
        <v>803</v>
      </c>
    </row>
    <row r="110" spans="2:13" x14ac:dyDescent="0.2">
      <c r="B110" t="s">
        <v>1052</v>
      </c>
      <c r="C110" t="s">
        <v>32</v>
      </c>
      <c r="D110" t="s">
        <v>5</v>
      </c>
      <c r="E110" t="s">
        <v>673</v>
      </c>
      <c r="L110" t="s">
        <v>805</v>
      </c>
      <c r="M110" t="s">
        <v>806</v>
      </c>
    </row>
    <row r="111" spans="2:13" x14ac:dyDescent="0.2">
      <c r="B111" t="s">
        <v>1053</v>
      </c>
      <c r="C111" t="s">
        <v>80</v>
      </c>
      <c r="D111" t="s">
        <v>5</v>
      </c>
      <c r="E111" t="s">
        <v>734</v>
      </c>
      <c r="L111" t="s">
        <v>808</v>
      </c>
      <c r="M111" t="s">
        <v>809</v>
      </c>
    </row>
    <row r="112" spans="2:13" x14ac:dyDescent="0.2">
      <c r="B112" t="s">
        <v>1054</v>
      </c>
      <c r="C112" t="s">
        <v>232</v>
      </c>
      <c r="D112" t="s">
        <v>5</v>
      </c>
      <c r="E112" t="s">
        <v>644</v>
      </c>
      <c r="L112" t="s">
        <v>808</v>
      </c>
      <c r="M112" t="s">
        <v>809</v>
      </c>
    </row>
    <row r="113" spans="2:13" x14ac:dyDescent="0.2">
      <c r="B113" t="s">
        <v>1055</v>
      </c>
      <c r="C113" t="s">
        <v>477</v>
      </c>
      <c r="D113" t="s">
        <v>5</v>
      </c>
      <c r="E113" t="s">
        <v>733</v>
      </c>
      <c r="L113" t="s">
        <v>805</v>
      </c>
      <c r="M113" t="s">
        <v>806</v>
      </c>
    </row>
    <row r="114" spans="2:13" x14ac:dyDescent="0.2">
      <c r="B114">
        <v>106571591</v>
      </c>
      <c r="C114" t="s">
        <v>618</v>
      </c>
      <c r="D114" t="s">
        <v>5</v>
      </c>
      <c r="E114" t="s">
        <v>726</v>
      </c>
      <c r="L114" t="s">
        <v>811</v>
      </c>
      <c r="M114" t="s">
        <v>814</v>
      </c>
    </row>
    <row r="115" spans="2:13" x14ac:dyDescent="0.2">
      <c r="B115" t="s">
        <v>1056</v>
      </c>
      <c r="C115" t="s">
        <v>10</v>
      </c>
      <c r="D115" t="s">
        <v>5</v>
      </c>
      <c r="E115" t="s">
        <v>733</v>
      </c>
      <c r="L115" t="s">
        <v>811</v>
      </c>
      <c r="M115" t="s">
        <v>812</v>
      </c>
    </row>
    <row r="116" spans="2:13" x14ac:dyDescent="0.2">
      <c r="B116" t="s">
        <v>1057</v>
      </c>
      <c r="C116" t="s">
        <v>224</v>
      </c>
      <c r="D116" t="s">
        <v>5</v>
      </c>
      <c r="E116" t="s">
        <v>673</v>
      </c>
      <c r="L116" t="s">
        <v>811</v>
      </c>
      <c r="M116" t="s">
        <v>812</v>
      </c>
    </row>
    <row r="117" spans="2:13" x14ac:dyDescent="0.2">
      <c r="B117" t="s">
        <v>1058</v>
      </c>
      <c r="C117" t="s">
        <v>487</v>
      </c>
      <c r="D117" t="s">
        <v>5</v>
      </c>
      <c r="E117" t="s">
        <v>670</v>
      </c>
      <c r="L117" t="s">
        <v>811</v>
      </c>
      <c r="M117" t="s">
        <v>812</v>
      </c>
    </row>
    <row r="118" spans="2:13" x14ac:dyDescent="0.2">
      <c r="B118" t="s">
        <v>1059</v>
      </c>
      <c r="C118" t="s">
        <v>174</v>
      </c>
      <c r="D118" t="s">
        <v>5</v>
      </c>
      <c r="E118" t="s">
        <v>700</v>
      </c>
      <c r="L118" t="s">
        <v>811</v>
      </c>
      <c r="M118" t="s">
        <v>814</v>
      </c>
    </row>
    <row r="119" spans="2:13" x14ac:dyDescent="0.2">
      <c r="B119" t="s">
        <v>1060</v>
      </c>
      <c r="C119" t="s">
        <v>256</v>
      </c>
      <c r="D119" t="s">
        <v>5</v>
      </c>
      <c r="E119" t="s">
        <v>693</v>
      </c>
      <c r="L119" t="s">
        <v>811</v>
      </c>
      <c r="M119" t="s">
        <v>814</v>
      </c>
    </row>
    <row r="120" spans="2:13" x14ac:dyDescent="0.2">
      <c r="B120" t="s">
        <v>1061</v>
      </c>
      <c r="C120" t="s">
        <v>337</v>
      </c>
      <c r="D120" t="s">
        <v>5</v>
      </c>
      <c r="E120" t="s">
        <v>654</v>
      </c>
      <c r="L120" t="s">
        <v>811</v>
      </c>
      <c r="M120" t="s">
        <v>814</v>
      </c>
    </row>
    <row r="121" spans="2:13" x14ac:dyDescent="0.2">
      <c r="B121" t="s">
        <v>1062</v>
      </c>
      <c r="C121" t="s">
        <v>112</v>
      </c>
      <c r="D121" t="s">
        <v>5</v>
      </c>
      <c r="E121" t="s">
        <v>693</v>
      </c>
      <c r="L121" t="s">
        <v>811</v>
      </c>
      <c r="M121" t="s">
        <v>814</v>
      </c>
    </row>
    <row r="122" spans="2:13" x14ac:dyDescent="0.2">
      <c r="B122">
        <v>106610748</v>
      </c>
      <c r="C122" t="s">
        <v>551</v>
      </c>
      <c r="D122" t="s">
        <v>5</v>
      </c>
      <c r="E122" t="s">
        <v>729</v>
      </c>
      <c r="L122" t="s">
        <v>811</v>
      </c>
      <c r="M122" t="s">
        <v>814</v>
      </c>
    </row>
    <row r="123" spans="2:13" x14ac:dyDescent="0.2">
      <c r="B123" t="s">
        <v>1063</v>
      </c>
      <c r="C123" t="s">
        <v>405</v>
      </c>
      <c r="D123" t="s">
        <v>5</v>
      </c>
      <c r="E123" t="s">
        <v>669</v>
      </c>
      <c r="L123" t="s">
        <v>811</v>
      </c>
      <c r="M123" t="s">
        <v>814</v>
      </c>
    </row>
    <row r="124" spans="2:13" x14ac:dyDescent="0.2">
      <c r="B124" t="s">
        <v>1064</v>
      </c>
      <c r="C124" t="s">
        <v>596</v>
      </c>
      <c r="D124" t="s">
        <v>5</v>
      </c>
      <c r="E124" t="s">
        <v>702</v>
      </c>
      <c r="L124" t="s">
        <v>811</v>
      </c>
      <c r="M124" t="s">
        <v>814</v>
      </c>
    </row>
    <row r="125" spans="2:13" x14ac:dyDescent="0.2">
      <c r="B125" t="s">
        <v>817</v>
      </c>
      <c r="C125" t="s">
        <v>12</v>
      </c>
      <c r="D125" t="s">
        <v>5</v>
      </c>
      <c r="E125" t="s">
        <v>818</v>
      </c>
      <c r="L125" t="s">
        <v>811</v>
      </c>
      <c r="M125" t="s">
        <v>814</v>
      </c>
    </row>
    <row r="126" spans="2:13" x14ac:dyDescent="0.2">
      <c r="B126" t="s">
        <v>1065</v>
      </c>
      <c r="C126" t="s">
        <v>40</v>
      </c>
      <c r="D126" t="s">
        <v>5</v>
      </c>
      <c r="E126" t="s">
        <v>820</v>
      </c>
      <c r="L126" t="s">
        <v>811</v>
      </c>
      <c r="M126" t="s">
        <v>814</v>
      </c>
    </row>
    <row r="127" spans="2:13" x14ac:dyDescent="0.2">
      <c r="B127" t="s">
        <v>1066</v>
      </c>
      <c r="C127" t="s">
        <v>411</v>
      </c>
      <c r="D127" t="s">
        <v>5</v>
      </c>
      <c r="E127" t="s">
        <v>733</v>
      </c>
      <c r="L127" t="s">
        <v>811</v>
      </c>
      <c r="M127" t="s">
        <v>821</v>
      </c>
    </row>
    <row r="128" spans="2:13" x14ac:dyDescent="0.2">
      <c r="B128" t="s">
        <v>1067</v>
      </c>
      <c r="C128" t="s">
        <v>240</v>
      </c>
      <c r="D128" t="s">
        <v>5</v>
      </c>
      <c r="E128" t="s">
        <v>673</v>
      </c>
      <c r="L128" t="s">
        <v>811</v>
      </c>
      <c r="M128" t="s">
        <v>821</v>
      </c>
    </row>
    <row r="129" spans="2:13" x14ac:dyDescent="0.2">
      <c r="B129" t="s">
        <v>822</v>
      </c>
      <c r="C129" t="s">
        <v>178</v>
      </c>
      <c r="D129" t="s">
        <v>5</v>
      </c>
      <c r="E129" t="s">
        <v>818</v>
      </c>
      <c r="L129" t="s">
        <v>811</v>
      </c>
      <c r="M129" t="s">
        <v>814</v>
      </c>
    </row>
    <row r="130" spans="2:13" x14ac:dyDescent="0.2">
      <c r="B130" t="s">
        <v>1068</v>
      </c>
      <c r="C130" t="s">
        <v>84</v>
      </c>
      <c r="D130" t="s">
        <v>5</v>
      </c>
      <c r="E130" t="s">
        <v>702</v>
      </c>
      <c r="L130" t="s">
        <v>811</v>
      </c>
      <c r="M130" t="s">
        <v>814</v>
      </c>
    </row>
    <row r="131" spans="2:13" x14ac:dyDescent="0.2">
      <c r="B131" t="s">
        <v>1069</v>
      </c>
      <c r="C131" t="s">
        <v>30</v>
      </c>
      <c r="D131" t="s">
        <v>5</v>
      </c>
      <c r="E131" t="s">
        <v>774</v>
      </c>
      <c r="L131" t="s">
        <v>811</v>
      </c>
      <c r="M131" t="s">
        <v>814</v>
      </c>
    </row>
    <row r="132" spans="2:13" x14ac:dyDescent="0.2">
      <c r="B132" t="s">
        <v>1070</v>
      </c>
      <c r="C132" t="s">
        <v>76</v>
      </c>
      <c r="D132" t="s">
        <v>5</v>
      </c>
      <c r="E132" t="s">
        <v>644</v>
      </c>
      <c r="L132" t="s">
        <v>811</v>
      </c>
      <c r="M132" t="s">
        <v>814</v>
      </c>
    </row>
    <row r="133" spans="2:13" x14ac:dyDescent="0.2">
      <c r="B133" t="s">
        <v>1071</v>
      </c>
      <c r="C133" t="s">
        <v>300</v>
      </c>
      <c r="D133" t="s">
        <v>5</v>
      </c>
      <c r="E133" t="s">
        <v>702</v>
      </c>
      <c r="H133" t="s">
        <v>825</v>
      </c>
      <c r="L133" t="s">
        <v>826</v>
      </c>
      <c r="M133" t="s">
        <v>750</v>
      </c>
    </row>
    <row r="134" spans="2:13" x14ac:dyDescent="0.2">
      <c r="B134" t="s">
        <v>1072</v>
      </c>
      <c r="C134" t="s">
        <v>395</v>
      </c>
      <c r="D134" t="s">
        <v>5</v>
      </c>
      <c r="E134" t="s">
        <v>774</v>
      </c>
      <c r="H134" t="s">
        <v>825</v>
      </c>
      <c r="L134" t="s">
        <v>826</v>
      </c>
      <c r="M134" t="s">
        <v>750</v>
      </c>
    </row>
    <row r="135" spans="2:13" x14ac:dyDescent="0.2">
      <c r="B135" t="s">
        <v>1073</v>
      </c>
      <c r="C135" t="s">
        <v>126</v>
      </c>
      <c r="D135" t="s">
        <v>5</v>
      </c>
      <c r="E135" t="s">
        <v>818</v>
      </c>
      <c r="H135" t="s">
        <v>825</v>
      </c>
      <c r="L135" t="s">
        <v>826</v>
      </c>
      <c r="M135" t="s">
        <v>750</v>
      </c>
    </row>
    <row r="136" spans="2:13" x14ac:dyDescent="0.2">
      <c r="B136" t="s">
        <v>1074</v>
      </c>
      <c r="C136" t="s">
        <v>136</v>
      </c>
      <c r="D136" t="s">
        <v>5</v>
      </c>
      <c r="E136" t="s">
        <v>820</v>
      </c>
      <c r="H136" t="s">
        <v>825</v>
      </c>
      <c r="L136" t="s">
        <v>826</v>
      </c>
      <c r="M136" t="s">
        <v>750</v>
      </c>
    </row>
    <row r="137" spans="2:13" x14ac:dyDescent="0.2">
      <c r="B137" t="s">
        <v>1075</v>
      </c>
      <c r="C137" t="s">
        <v>459</v>
      </c>
      <c r="D137" t="s">
        <v>5</v>
      </c>
      <c r="E137" t="s">
        <v>733</v>
      </c>
      <c r="L137" t="s">
        <v>828</v>
      </c>
    </row>
    <row r="138" spans="2:13" x14ac:dyDescent="0.2">
      <c r="B138" t="s">
        <v>1076</v>
      </c>
      <c r="C138" t="s">
        <v>423</v>
      </c>
      <c r="D138" t="s">
        <v>5</v>
      </c>
      <c r="E138" t="s">
        <v>1077</v>
      </c>
      <c r="L138" t="s">
        <v>828</v>
      </c>
    </row>
    <row r="139" spans="2:13" x14ac:dyDescent="0.2">
      <c r="B139" t="s">
        <v>1078</v>
      </c>
      <c r="C139" t="s">
        <v>302</v>
      </c>
      <c r="D139" t="s">
        <v>5</v>
      </c>
      <c r="E139" t="s">
        <v>673</v>
      </c>
      <c r="L139" t="s">
        <v>828</v>
      </c>
    </row>
    <row r="140" spans="2:13" x14ac:dyDescent="0.2">
      <c r="B140" t="s">
        <v>1079</v>
      </c>
      <c r="C140" t="s">
        <v>383</v>
      </c>
      <c r="D140" t="s">
        <v>5</v>
      </c>
      <c r="E140" t="s">
        <v>693</v>
      </c>
      <c r="M140" t="s">
        <v>830</v>
      </c>
    </row>
    <row r="141" spans="2:13" x14ac:dyDescent="0.2">
      <c r="B141" t="s">
        <v>1080</v>
      </c>
      <c r="C141" t="s">
        <v>146</v>
      </c>
      <c r="D141" t="s">
        <v>5</v>
      </c>
      <c r="E141" t="s">
        <v>700</v>
      </c>
      <c r="M141" t="s">
        <v>830</v>
      </c>
    </row>
    <row r="142" spans="2:13" x14ac:dyDescent="0.2">
      <c r="B142" t="s">
        <v>1081</v>
      </c>
      <c r="C142" t="s">
        <v>52</v>
      </c>
      <c r="D142" t="s">
        <v>5</v>
      </c>
      <c r="E142" t="s">
        <v>732</v>
      </c>
      <c r="M142" t="s">
        <v>830</v>
      </c>
    </row>
    <row r="143" spans="2:13" x14ac:dyDescent="0.2">
      <c r="B143" t="s">
        <v>1082</v>
      </c>
      <c r="C143" t="s">
        <v>56</v>
      </c>
      <c r="D143" t="s">
        <v>5</v>
      </c>
      <c r="E143" t="s">
        <v>733</v>
      </c>
      <c r="M143" t="s">
        <v>830</v>
      </c>
    </row>
    <row r="144" spans="2:13" x14ac:dyDescent="0.2">
      <c r="B144" t="s">
        <v>1083</v>
      </c>
      <c r="C144" t="s">
        <v>355</v>
      </c>
      <c r="D144" t="s">
        <v>5</v>
      </c>
      <c r="E144" t="s">
        <v>654</v>
      </c>
    </row>
    <row r="145" spans="2:13" x14ac:dyDescent="0.2">
      <c r="B145" t="s">
        <v>1084</v>
      </c>
      <c r="C145" t="s">
        <v>44</v>
      </c>
      <c r="D145" t="s">
        <v>5</v>
      </c>
      <c r="E145" t="s">
        <v>669</v>
      </c>
      <c r="H145" t="s">
        <v>835</v>
      </c>
      <c r="M145" t="s">
        <v>836</v>
      </c>
    </row>
    <row r="146" spans="2:13" x14ac:dyDescent="0.2">
      <c r="B146" t="s">
        <v>1085</v>
      </c>
      <c r="C146" t="s">
        <v>491</v>
      </c>
      <c r="D146" t="s">
        <v>5</v>
      </c>
      <c r="E146" t="s">
        <v>639</v>
      </c>
      <c r="H146" t="s">
        <v>835</v>
      </c>
      <c r="M146" t="s">
        <v>750</v>
      </c>
    </row>
    <row r="147" spans="2:13" x14ac:dyDescent="0.2">
      <c r="B147" t="s">
        <v>1086</v>
      </c>
      <c r="C147" t="s">
        <v>214</v>
      </c>
      <c r="D147" t="s">
        <v>5</v>
      </c>
      <c r="E147" t="s">
        <v>639</v>
      </c>
      <c r="H147" t="s">
        <v>835</v>
      </c>
      <c r="M147" t="s">
        <v>750</v>
      </c>
    </row>
    <row r="148" spans="2:13" x14ac:dyDescent="0.2">
      <c r="B148" t="s">
        <v>1087</v>
      </c>
      <c r="C148" t="s">
        <v>268</v>
      </c>
      <c r="D148" t="s">
        <v>5</v>
      </c>
      <c r="E148" t="s">
        <v>714</v>
      </c>
      <c r="H148" t="s">
        <v>835</v>
      </c>
      <c r="M148" t="s">
        <v>750</v>
      </c>
    </row>
    <row r="149" spans="2:13" x14ac:dyDescent="0.2">
      <c r="B149" t="s">
        <v>1088</v>
      </c>
      <c r="C149" t="s">
        <v>532</v>
      </c>
      <c r="D149" t="s">
        <v>5</v>
      </c>
      <c r="E149" t="s">
        <v>655</v>
      </c>
    </row>
    <row r="150" spans="2:13" x14ac:dyDescent="0.2">
      <c r="B150" t="s">
        <v>1089</v>
      </c>
      <c r="C150" t="s">
        <v>258</v>
      </c>
      <c r="D150" t="s">
        <v>5</v>
      </c>
      <c r="E150" t="s">
        <v>729</v>
      </c>
    </row>
    <row r="151" spans="2:13" x14ac:dyDescent="0.2">
      <c r="B151" t="s">
        <v>1090</v>
      </c>
      <c r="C151" t="s">
        <v>276</v>
      </c>
      <c r="D151" t="s">
        <v>5</v>
      </c>
      <c r="E151" t="s">
        <v>652</v>
      </c>
    </row>
    <row r="152" spans="2:13" x14ac:dyDescent="0.2">
      <c r="B152" t="s">
        <v>1091</v>
      </c>
      <c r="C152" t="s">
        <v>540</v>
      </c>
      <c r="D152" t="s">
        <v>5</v>
      </c>
      <c r="E152" t="s">
        <v>648</v>
      </c>
    </row>
    <row r="153" spans="2:13" x14ac:dyDescent="0.2">
      <c r="B153" t="s">
        <v>1092</v>
      </c>
      <c r="C153" t="s">
        <v>361</v>
      </c>
      <c r="D153" t="s">
        <v>5</v>
      </c>
      <c r="E153" t="s">
        <v>734</v>
      </c>
    </row>
    <row r="154" spans="2:13" x14ac:dyDescent="0.2">
      <c r="B154" t="s">
        <v>1093</v>
      </c>
      <c r="C154" t="s">
        <v>375</v>
      </c>
      <c r="D154" t="s">
        <v>5</v>
      </c>
      <c r="E154" t="s">
        <v>644</v>
      </c>
    </row>
    <row r="155" spans="2:13" x14ac:dyDescent="0.2">
      <c r="B155" t="s">
        <v>1094</v>
      </c>
      <c r="C155" t="s">
        <v>16</v>
      </c>
      <c r="D155" t="s">
        <v>5</v>
      </c>
      <c r="E155" t="s">
        <v>700</v>
      </c>
      <c r="H155" t="s">
        <v>839</v>
      </c>
      <c r="I155" t="s">
        <v>840</v>
      </c>
      <c r="L155" t="s">
        <v>841</v>
      </c>
      <c r="M155" t="s">
        <v>842</v>
      </c>
    </row>
    <row r="156" spans="2:13" x14ac:dyDescent="0.2">
      <c r="B156" t="s">
        <v>1095</v>
      </c>
      <c r="C156" t="s">
        <v>329</v>
      </c>
      <c r="D156" t="s">
        <v>5</v>
      </c>
      <c r="E156" t="s">
        <v>680</v>
      </c>
      <c r="H156" t="s">
        <v>839</v>
      </c>
      <c r="I156" t="s">
        <v>840</v>
      </c>
      <c r="L156" t="s">
        <v>841</v>
      </c>
      <c r="M156" t="s">
        <v>842</v>
      </c>
    </row>
    <row r="157" spans="2:13" x14ac:dyDescent="0.2">
      <c r="B157" t="s">
        <v>843</v>
      </c>
      <c r="C157" t="s">
        <v>246</v>
      </c>
      <c r="D157" t="s">
        <v>5</v>
      </c>
      <c r="E157" t="s">
        <v>702</v>
      </c>
      <c r="H157" t="s">
        <v>839</v>
      </c>
      <c r="L157" t="s">
        <v>841</v>
      </c>
      <c r="M157" t="s">
        <v>842</v>
      </c>
    </row>
    <row r="158" spans="2:13" x14ac:dyDescent="0.2">
      <c r="B158" t="s">
        <v>1096</v>
      </c>
      <c r="C158" t="s">
        <v>168</v>
      </c>
      <c r="D158" t="s">
        <v>5</v>
      </c>
      <c r="E158" t="s">
        <v>655</v>
      </c>
      <c r="H158" t="s">
        <v>839</v>
      </c>
      <c r="L158" t="s">
        <v>841</v>
      </c>
      <c r="M158" t="s">
        <v>842</v>
      </c>
    </row>
    <row r="159" spans="2:13" x14ac:dyDescent="0.2">
      <c r="B159" t="s">
        <v>1097</v>
      </c>
      <c r="C159" t="s">
        <v>500</v>
      </c>
      <c r="D159" t="s">
        <v>5</v>
      </c>
      <c r="E159" t="s">
        <v>844</v>
      </c>
    </row>
    <row r="160" spans="2:13" x14ac:dyDescent="0.2">
      <c r="B160" t="s">
        <v>1098</v>
      </c>
      <c r="C160" t="s">
        <v>140</v>
      </c>
      <c r="D160" t="s">
        <v>5</v>
      </c>
      <c r="E160" t="s">
        <v>774</v>
      </c>
      <c r="F160" t="s">
        <v>846</v>
      </c>
      <c r="L160" t="s">
        <v>847</v>
      </c>
      <c r="M160" t="s">
        <v>848</v>
      </c>
    </row>
    <row r="161" spans="2:13" x14ac:dyDescent="0.2">
      <c r="B161" t="s">
        <v>849</v>
      </c>
      <c r="C161" t="s">
        <v>42</v>
      </c>
      <c r="D161" t="s">
        <v>5</v>
      </c>
      <c r="E161" t="s">
        <v>648</v>
      </c>
      <c r="L161" t="s">
        <v>847</v>
      </c>
      <c r="M161" t="s">
        <v>848</v>
      </c>
    </row>
    <row r="162" spans="2:13" x14ac:dyDescent="0.2">
      <c r="B162" t="s">
        <v>850</v>
      </c>
      <c r="C162" t="s">
        <v>14</v>
      </c>
      <c r="D162" t="s">
        <v>5</v>
      </c>
      <c r="E162" t="s">
        <v>734</v>
      </c>
    </row>
    <row r="163" spans="2:13" x14ac:dyDescent="0.2">
      <c r="B163">
        <v>106572151</v>
      </c>
      <c r="C163" t="s">
        <v>549</v>
      </c>
      <c r="D163" t="s">
        <v>5</v>
      </c>
      <c r="E163" t="s">
        <v>726</v>
      </c>
      <c r="M163" t="s">
        <v>814</v>
      </c>
    </row>
    <row r="164" spans="2:13" x14ac:dyDescent="0.2">
      <c r="B164" t="s">
        <v>1099</v>
      </c>
      <c r="C164" t="s">
        <v>110</v>
      </c>
      <c r="D164" t="s">
        <v>5</v>
      </c>
      <c r="E164" t="s">
        <v>702</v>
      </c>
      <c r="L164" t="s">
        <v>851</v>
      </c>
      <c r="M164" t="s">
        <v>814</v>
      </c>
    </row>
    <row r="165" spans="2:13" x14ac:dyDescent="0.2">
      <c r="B165">
        <v>106587978</v>
      </c>
      <c r="C165" t="s">
        <v>624</v>
      </c>
      <c r="D165" t="s">
        <v>5</v>
      </c>
      <c r="E165" t="s">
        <v>844</v>
      </c>
      <c r="M165" t="s">
        <v>814</v>
      </c>
    </row>
    <row r="166" spans="2:13" x14ac:dyDescent="0.2">
      <c r="B166" t="s">
        <v>1100</v>
      </c>
      <c r="C166" t="s">
        <v>315</v>
      </c>
      <c r="D166" t="s">
        <v>5</v>
      </c>
      <c r="E166" t="s">
        <v>650</v>
      </c>
      <c r="L166" t="s">
        <v>851</v>
      </c>
      <c r="M166" t="s">
        <v>814</v>
      </c>
    </row>
    <row r="167" spans="2:13" x14ac:dyDescent="0.2">
      <c r="B167" t="s">
        <v>1101</v>
      </c>
      <c r="C167" t="s">
        <v>309</v>
      </c>
      <c r="D167" t="s">
        <v>5</v>
      </c>
      <c r="E167" t="s">
        <v>669</v>
      </c>
      <c r="L167" t="s">
        <v>852</v>
      </c>
      <c r="M167" t="s">
        <v>853</v>
      </c>
    </row>
    <row r="168" spans="2:13" x14ac:dyDescent="0.2">
      <c r="B168" t="s">
        <v>1102</v>
      </c>
      <c r="C168" t="s">
        <v>512</v>
      </c>
      <c r="D168" t="s">
        <v>5</v>
      </c>
      <c r="E168" t="s">
        <v>726</v>
      </c>
      <c r="L168" t="s">
        <v>855</v>
      </c>
      <c r="M168" t="s">
        <v>856</v>
      </c>
    </row>
    <row r="169" spans="2:13" x14ac:dyDescent="0.2">
      <c r="B169" t="s">
        <v>1103</v>
      </c>
      <c r="C169" t="s">
        <v>74</v>
      </c>
      <c r="D169" t="s">
        <v>5</v>
      </c>
      <c r="E169" t="s">
        <v>688</v>
      </c>
      <c r="H169" t="s">
        <v>857</v>
      </c>
      <c r="I169" t="s">
        <v>858</v>
      </c>
      <c r="L169" t="s">
        <v>859</v>
      </c>
    </row>
    <row r="170" spans="2:13" x14ac:dyDescent="0.2">
      <c r="B170" t="s">
        <v>1104</v>
      </c>
      <c r="C170" t="s">
        <v>385</v>
      </c>
      <c r="D170" t="s">
        <v>5</v>
      </c>
      <c r="E170" t="s">
        <v>655</v>
      </c>
    </row>
    <row r="171" spans="2:13" x14ac:dyDescent="0.2">
      <c r="B171" t="s">
        <v>1105</v>
      </c>
      <c r="C171" t="s">
        <v>399</v>
      </c>
      <c r="D171" t="s">
        <v>5</v>
      </c>
      <c r="E171" t="s">
        <v>702</v>
      </c>
    </row>
    <row r="172" spans="2:13" x14ac:dyDescent="0.2">
      <c r="B172" t="s">
        <v>1106</v>
      </c>
      <c r="C172" t="s">
        <v>325</v>
      </c>
      <c r="D172" t="s">
        <v>5</v>
      </c>
      <c r="E172" t="s">
        <v>726</v>
      </c>
      <c r="H172" t="s">
        <v>861</v>
      </c>
      <c r="L172" t="s">
        <v>862</v>
      </c>
    </row>
    <row r="173" spans="2:13" x14ac:dyDescent="0.2">
      <c r="B173" t="s">
        <v>1107</v>
      </c>
      <c r="C173" t="s">
        <v>54</v>
      </c>
      <c r="D173" t="s">
        <v>5</v>
      </c>
      <c r="E173" t="s">
        <v>726</v>
      </c>
      <c r="G173" t="s">
        <v>720</v>
      </c>
      <c r="H173" t="s">
        <v>721</v>
      </c>
      <c r="I173" t="s">
        <v>722</v>
      </c>
      <c r="L173" t="s">
        <v>864</v>
      </c>
      <c r="M173" t="s">
        <v>865</v>
      </c>
    </row>
    <row r="174" spans="2:13" x14ac:dyDescent="0.2">
      <c r="B174" t="s">
        <v>1108</v>
      </c>
      <c r="C174" t="s">
        <v>520</v>
      </c>
      <c r="D174" t="s">
        <v>5</v>
      </c>
      <c r="E174" t="s">
        <v>866</v>
      </c>
      <c r="I174" t="s">
        <v>858</v>
      </c>
      <c r="L174" t="s">
        <v>867</v>
      </c>
    </row>
    <row r="175" spans="2:13" x14ac:dyDescent="0.2">
      <c r="B175" t="s">
        <v>1109</v>
      </c>
      <c r="C175" t="s">
        <v>602</v>
      </c>
      <c r="D175" t="s">
        <v>5</v>
      </c>
      <c r="E175" t="s">
        <v>700</v>
      </c>
      <c r="G175" t="s">
        <v>720</v>
      </c>
      <c r="H175" t="s">
        <v>721</v>
      </c>
      <c r="I175" t="s">
        <v>722</v>
      </c>
      <c r="L175" t="s">
        <v>723</v>
      </c>
    </row>
    <row r="176" spans="2:13" x14ac:dyDescent="0.2">
      <c r="B176" t="s">
        <v>1110</v>
      </c>
      <c r="C176" t="s">
        <v>284</v>
      </c>
      <c r="D176" t="s">
        <v>5</v>
      </c>
      <c r="E176" t="s">
        <v>680</v>
      </c>
      <c r="H176" t="s">
        <v>681</v>
      </c>
      <c r="M176" t="s">
        <v>869</v>
      </c>
    </row>
    <row r="177" spans="2:13" x14ac:dyDescent="0.2">
      <c r="B177" t="s">
        <v>870</v>
      </c>
      <c r="C177" t="s">
        <v>130</v>
      </c>
      <c r="D177" t="s">
        <v>5</v>
      </c>
      <c r="E177" t="s">
        <v>655</v>
      </c>
      <c r="H177" t="s">
        <v>681</v>
      </c>
      <c r="L177" t="s">
        <v>682</v>
      </c>
    </row>
    <row r="178" spans="2:13" x14ac:dyDescent="0.2">
      <c r="B178" t="s">
        <v>1111</v>
      </c>
      <c r="C178" t="s">
        <v>493</v>
      </c>
      <c r="D178" t="s">
        <v>5</v>
      </c>
      <c r="E178" t="s">
        <v>699</v>
      </c>
      <c r="H178" t="s">
        <v>681</v>
      </c>
      <c r="L178" t="s">
        <v>682</v>
      </c>
    </row>
    <row r="179" spans="2:13" x14ac:dyDescent="0.2">
      <c r="B179" t="s">
        <v>1112</v>
      </c>
      <c r="C179" t="s">
        <v>202</v>
      </c>
      <c r="D179" t="s">
        <v>5</v>
      </c>
      <c r="E179" t="s">
        <v>866</v>
      </c>
    </row>
    <row r="180" spans="2:13" x14ac:dyDescent="0.2">
      <c r="B180" t="s">
        <v>1113</v>
      </c>
      <c r="C180" t="s">
        <v>371</v>
      </c>
      <c r="D180" t="s">
        <v>5</v>
      </c>
      <c r="E180" t="s">
        <v>639</v>
      </c>
      <c r="H180" t="s">
        <v>874</v>
      </c>
      <c r="I180" t="s">
        <v>858</v>
      </c>
      <c r="J180" t="s">
        <v>875</v>
      </c>
      <c r="L180" t="s">
        <v>876</v>
      </c>
      <c r="M180" t="s">
        <v>877</v>
      </c>
    </row>
    <row r="181" spans="2:13" x14ac:dyDescent="0.2">
      <c r="B181" t="s">
        <v>1114</v>
      </c>
      <c r="C181" t="s">
        <v>114</v>
      </c>
      <c r="D181" t="s">
        <v>5</v>
      </c>
      <c r="E181" t="s">
        <v>654</v>
      </c>
      <c r="H181" t="s">
        <v>857</v>
      </c>
      <c r="I181" t="s">
        <v>858</v>
      </c>
      <c r="L181" t="s">
        <v>859</v>
      </c>
    </row>
    <row r="182" spans="2:13" x14ac:dyDescent="0.2">
      <c r="B182" t="s">
        <v>878</v>
      </c>
      <c r="C182" t="s">
        <v>72</v>
      </c>
      <c r="D182" t="s">
        <v>5</v>
      </c>
      <c r="E182" t="s">
        <v>729</v>
      </c>
      <c r="H182" t="s">
        <v>857</v>
      </c>
      <c r="I182" t="s">
        <v>858</v>
      </c>
      <c r="L182" t="s">
        <v>859</v>
      </c>
    </row>
    <row r="183" spans="2:13" x14ac:dyDescent="0.2">
      <c r="B183" t="s">
        <v>879</v>
      </c>
      <c r="C183" t="s">
        <v>170</v>
      </c>
      <c r="D183" t="s">
        <v>5</v>
      </c>
      <c r="E183" t="s">
        <v>639</v>
      </c>
      <c r="H183" t="s">
        <v>857</v>
      </c>
      <c r="I183" t="s">
        <v>858</v>
      </c>
      <c r="L183" t="s">
        <v>859</v>
      </c>
    </row>
    <row r="184" spans="2:13" x14ac:dyDescent="0.2">
      <c r="B184" t="s">
        <v>1115</v>
      </c>
      <c r="C184" t="s">
        <v>160</v>
      </c>
      <c r="D184" t="s">
        <v>5</v>
      </c>
      <c r="E184" t="s">
        <v>675</v>
      </c>
      <c r="H184" t="s">
        <v>857</v>
      </c>
      <c r="I184" t="s">
        <v>858</v>
      </c>
      <c r="L184" t="s">
        <v>859</v>
      </c>
    </row>
    <row r="185" spans="2:13" x14ac:dyDescent="0.2">
      <c r="B185" t="s">
        <v>1116</v>
      </c>
      <c r="C185" t="s">
        <v>510</v>
      </c>
      <c r="D185" t="s">
        <v>5</v>
      </c>
      <c r="E185" t="s">
        <v>654</v>
      </c>
      <c r="H185" t="s">
        <v>874</v>
      </c>
      <c r="I185" t="s">
        <v>858</v>
      </c>
      <c r="J185" t="s">
        <v>875</v>
      </c>
      <c r="L185" t="s">
        <v>876</v>
      </c>
      <c r="M185" t="s">
        <v>877</v>
      </c>
    </row>
    <row r="186" spans="2:13" x14ac:dyDescent="0.2">
      <c r="B186" t="s">
        <v>881</v>
      </c>
      <c r="C186" t="s">
        <v>138</v>
      </c>
      <c r="D186" t="s">
        <v>5</v>
      </c>
      <c r="E186" t="s">
        <v>652</v>
      </c>
      <c r="H186" t="s">
        <v>874</v>
      </c>
      <c r="I186" t="s">
        <v>858</v>
      </c>
      <c r="J186" t="s">
        <v>875</v>
      </c>
      <c r="L186" t="s">
        <v>876</v>
      </c>
      <c r="M186" t="s">
        <v>877</v>
      </c>
    </row>
    <row r="187" spans="2:13" x14ac:dyDescent="0.2">
      <c r="B187" t="s">
        <v>1117</v>
      </c>
      <c r="C187" t="s">
        <v>282</v>
      </c>
      <c r="D187" t="s">
        <v>5</v>
      </c>
      <c r="E187" t="s">
        <v>714</v>
      </c>
      <c r="H187" t="s">
        <v>874</v>
      </c>
      <c r="I187" t="s">
        <v>858</v>
      </c>
      <c r="J187" t="s">
        <v>875</v>
      </c>
      <c r="L187" t="s">
        <v>876</v>
      </c>
      <c r="M187" t="s">
        <v>877</v>
      </c>
    </row>
    <row r="188" spans="2:13" x14ac:dyDescent="0.2">
      <c r="B188" t="s">
        <v>1118</v>
      </c>
      <c r="C188" t="s">
        <v>439</v>
      </c>
      <c r="D188" t="s">
        <v>5</v>
      </c>
      <c r="E188" t="s">
        <v>650</v>
      </c>
      <c r="L188" t="s">
        <v>882</v>
      </c>
    </row>
    <row r="189" spans="2:13" x14ac:dyDescent="0.2">
      <c r="B189" t="s">
        <v>1119</v>
      </c>
      <c r="C189" t="s">
        <v>365</v>
      </c>
      <c r="D189" t="s">
        <v>5</v>
      </c>
      <c r="E189" t="s">
        <v>844</v>
      </c>
      <c r="L189" t="s">
        <v>882</v>
      </c>
    </row>
    <row r="190" spans="2:13" x14ac:dyDescent="0.2">
      <c r="B190" t="s">
        <v>1120</v>
      </c>
      <c r="C190" t="s">
        <v>116</v>
      </c>
      <c r="D190" t="s">
        <v>5</v>
      </c>
      <c r="E190" t="s">
        <v>699</v>
      </c>
      <c r="L190" t="s">
        <v>882</v>
      </c>
    </row>
    <row r="191" spans="2:13" x14ac:dyDescent="0.2">
      <c r="B191" t="s">
        <v>1121</v>
      </c>
      <c r="C191" t="s">
        <v>298</v>
      </c>
      <c r="D191" t="s">
        <v>5</v>
      </c>
      <c r="E191" t="s">
        <v>700</v>
      </c>
      <c r="L191" t="s">
        <v>882</v>
      </c>
    </row>
    <row r="192" spans="2:13" x14ac:dyDescent="0.2">
      <c r="B192" t="s">
        <v>1122</v>
      </c>
      <c r="C192" t="s">
        <v>270</v>
      </c>
      <c r="D192" t="s">
        <v>5</v>
      </c>
      <c r="E192" t="s">
        <v>655</v>
      </c>
      <c r="L192" t="s">
        <v>882</v>
      </c>
    </row>
    <row r="193" spans="2:12" x14ac:dyDescent="0.2">
      <c r="B193" t="s">
        <v>1123</v>
      </c>
      <c r="C193" t="s">
        <v>389</v>
      </c>
      <c r="D193" t="s">
        <v>5</v>
      </c>
      <c r="E193" t="s">
        <v>680</v>
      </c>
      <c r="L193" t="s">
        <v>882</v>
      </c>
    </row>
    <row r="194" spans="2:12" x14ac:dyDescent="0.2">
      <c r="B194" t="s">
        <v>885</v>
      </c>
      <c r="C194" t="s">
        <v>78</v>
      </c>
      <c r="D194" t="s">
        <v>5</v>
      </c>
      <c r="E194" t="s">
        <v>700</v>
      </c>
      <c r="L194" t="s">
        <v>882</v>
      </c>
    </row>
    <row r="195" spans="2:12" x14ac:dyDescent="0.2">
      <c r="B195" t="s">
        <v>1124</v>
      </c>
      <c r="C195" t="s">
        <v>20</v>
      </c>
      <c r="D195" t="s">
        <v>5</v>
      </c>
      <c r="E195" t="s">
        <v>699</v>
      </c>
      <c r="L195" t="s">
        <v>882</v>
      </c>
    </row>
    <row r="196" spans="2:12" x14ac:dyDescent="0.2">
      <c r="B196" t="s">
        <v>1125</v>
      </c>
      <c r="C196" t="s">
        <v>417</v>
      </c>
      <c r="D196" t="s">
        <v>5</v>
      </c>
      <c r="E196" t="s">
        <v>702</v>
      </c>
      <c r="L196" t="s">
        <v>882</v>
      </c>
    </row>
    <row r="197" spans="2:12" x14ac:dyDescent="0.2">
      <c r="B197" t="s">
        <v>887</v>
      </c>
      <c r="C197" t="s">
        <v>124</v>
      </c>
      <c r="D197" t="s">
        <v>5</v>
      </c>
      <c r="E197" t="s">
        <v>655</v>
      </c>
      <c r="L197" t="s">
        <v>882</v>
      </c>
    </row>
    <row r="198" spans="2:12" x14ac:dyDescent="0.2">
      <c r="B198" t="s">
        <v>1126</v>
      </c>
      <c r="C198" t="s">
        <v>254</v>
      </c>
      <c r="D198" t="s">
        <v>5</v>
      </c>
      <c r="E198" t="s">
        <v>699</v>
      </c>
      <c r="H198" t="s">
        <v>888</v>
      </c>
      <c r="K198" t="s">
        <v>889</v>
      </c>
      <c r="L198" t="s">
        <v>890</v>
      </c>
    </row>
    <row r="199" spans="2:12" x14ac:dyDescent="0.2">
      <c r="B199" t="s">
        <v>1127</v>
      </c>
      <c r="C199" t="s">
        <v>401</v>
      </c>
      <c r="D199" t="s">
        <v>5</v>
      </c>
      <c r="E199" t="s">
        <v>669</v>
      </c>
      <c r="H199" t="s">
        <v>888</v>
      </c>
      <c r="K199" t="s">
        <v>889</v>
      </c>
      <c r="L199" t="s">
        <v>890</v>
      </c>
    </row>
    <row r="200" spans="2:12" x14ac:dyDescent="0.2">
      <c r="B200" t="s">
        <v>1128</v>
      </c>
      <c r="C200" t="s">
        <v>321</v>
      </c>
      <c r="D200" t="s">
        <v>5</v>
      </c>
      <c r="E200" t="s">
        <v>700</v>
      </c>
      <c r="H200" t="s">
        <v>888</v>
      </c>
      <c r="K200" t="s">
        <v>889</v>
      </c>
      <c r="L200" t="s">
        <v>890</v>
      </c>
    </row>
    <row r="201" spans="2:12" x14ac:dyDescent="0.2">
      <c r="B201" t="s">
        <v>1129</v>
      </c>
      <c r="C201" t="s">
        <v>391</v>
      </c>
      <c r="D201" t="s">
        <v>5</v>
      </c>
      <c r="E201" t="s">
        <v>729</v>
      </c>
      <c r="H201" t="s">
        <v>888</v>
      </c>
      <c r="K201" t="s">
        <v>889</v>
      </c>
      <c r="L201" t="s">
        <v>890</v>
      </c>
    </row>
    <row r="202" spans="2:12" x14ac:dyDescent="0.2">
      <c r="B202" t="s">
        <v>892</v>
      </c>
      <c r="C202" t="s">
        <v>559</v>
      </c>
      <c r="D202" t="s">
        <v>5</v>
      </c>
      <c r="E202" t="s">
        <v>655</v>
      </c>
      <c r="H202" t="s">
        <v>888</v>
      </c>
      <c r="K202" t="s">
        <v>889</v>
      </c>
      <c r="L202" t="s">
        <v>890</v>
      </c>
    </row>
    <row r="203" spans="2:12" x14ac:dyDescent="0.2">
      <c r="B203" t="s">
        <v>1130</v>
      </c>
      <c r="C203" t="s">
        <v>542</v>
      </c>
      <c r="D203" t="s">
        <v>5</v>
      </c>
      <c r="E203" t="s">
        <v>726</v>
      </c>
      <c r="H203" t="s">
        <v>888</v>
      </c>
      <c r="K203" t="s">
        <v>889</v>
      </c>
      <c r="L203" t="s">
        <v>890</v>
      </c>
    </row>
    <row r="204" spans="2:12" x14ac:dyDescent="0.2">
      <c r="B204" t="s">
        <v>1131</v>
      </c>
      <c r="C204" t="s">
        <v>469</v>
      </c>
      <c r="D204" t="s">
        <v>5</v>
      </c>
      <c r="E204" t="s">
        <v>654</v>
      </c>
      <c r="L204" t="s">
        <v>882</v>
      </c>
    </row>
    <row r="205" spans="2:12" x14ac:dyDescent="0.2">
      <c r="B205" t="s">
        <v>1132</v>
      </c>
      <c r="C205" t="s">
        <v>307</v>
      </c>
      <c r="D205" t="s">
        <v>5</v>
      </c>
      <c r="E205" t="s">
        <v>655</v>
      </c>
      <c r="L205" t="s">
        <v>895</v>
      </c>
    </row>
    <row r="206" spans="2:12" x14ac:dyDescent="0.2">
      <c r="B206" t="s">
        <v>894</v>
      </c>
      <c r="C206" t="s">
        <v>180</v>
      </c>
      <c r="D206" t="s">
        <v>5</v>
      </c>
      <c r="E206" t="s">
        <v>702</v>
      </c>
      <c r="L206" t="s">
        <v>895</v>
      </c>
    </row>
    <row r="207" spans="2:12" x14ac:dyDescent="0.2">
      <c r="B207" t="s">
        <v>1133</v>
      </c>
      <c r="C207" t="s">
        <v>216</v>
      </c>
      <c r="D207" t="s">
        <v>5</v>
      </c>
      <c r="E207" t="s">
        <v>774</v>
      </c>
      <c r="L207" t="s">
        <v>895</v>
      </c>
    </row>
    <row r="208" spans="2:12" x14ac:dyDescent="0.2">
      <c r="B208" t="s">
        <v>896</v>
      </c>
      <c r="C208" t="s">
        <v>226</v>
      </c>
      <c r="D208" t="s">
        <v>5</v>
      </c>
      <c r="E208" t="s">
        <v>774</v>
      </c>
      <c r="L208" t="s">
        <v>895</v>
      </c>
    </row>
    <row r="209" spans="2:13" x14ac:dyDescent="0.2">
      <c r="B209">
        <v>106572675</v>
      </c>
      <c r="C209" t="s">
        <v>557</v>
      </c>
      <c r="D209" t="s">
        <v>5</v>
      </c>
      <c r="E209" t="s">
        <v>726</v>
      </c>
      <c r="J209" t="s">
        <v>897</v>
      </c>
      <c r="L209" t="s">
        <v>898</v>
      </c>
      <c r="M209" t="s">
        <v>899</v>
      </c>
    </row>
    <row r="210" spans="2:13" x14ac:dyDescent="0.2">
      <c r="B210" t="s">
        <v>900</v>
      </c>
      <c r="C210" t="s">
        <v>182</v>
      </c>
      <c r="D210" t="s">
        <v>5</v>
      </c>
      <c r="E210" t="s">
        <v>734</v>
      </c>
      <c r="J210" t="s">
        <v>897</v>
      </c>
      <c r="L210" t="s">
        <v>898</v>
      </c>
      <c r="M210" t="s">
        <v>899</v>
      </c>
    </row>
    <row r="211" spans="2:13" x14ac:dyDescent="0.2">
      <c r="B211" t="s">
        <v>901</v>
      </c>
      <c r="C211" t="s">
        <v>236</v>
      </c>
      <c r="D211" t="s">
        <v>5</v>
      </c>
      <c r="E211" t="s">
        <v>644</v>
      </c>
      <c r="J211" t="s">
        <v>897</v>
      </c>
      <c r="L211" t="s">
        <v>898</v>
      </c>
      <c r="M211" t="s">
        <v>899</v>
      </c>
    </row>
    <row r="212" spans="2:13" x14ac:dyDescent="0.2">
      <c r="B212" t="s">
        <v>1134</v>
      </c>
      <c r="C212" t="s">
        <v>166</v>
      </c>
      <c r="D212" t="s">
        <v>5</v>
      </c>
      <c r="E212" t="s">
        <v>644</v>
      </c>
      <c r="J212" t="s">
        <v>897</v>
      </c>
      <c r="L212" t="s">
        <v>898</v>
      </c>
      <c r="M212" t="s">
        <v>899</v>
      </c>
    </row>
    <row r="213" spans="2:13" x14ac:dyDescent="0.2">
      <c r="B213">
        <v>106576171</v>
      </c>
      <c r="C213" t="s">
        <v>604</v>
      </c>
      <c r="D213" t="s">
        <v>5</v>
      </c>
      <c r="E213" t="s">
        <v>774</v>
      </c>
      <c r="J213" t="s">
        <v>897</v>
      </c>
      <c r="L213" t="s">
        <v>898</v>
      </c>
      <c r="M213" t="s">
        <v>899</v>
      </c>
    </row>
    <row r="214" spans="2:13" x14ac:dyDescent="0.2">
      <c r="B214">
        <v>106609305</v>
      </c>
      <c r="C214" t="s">
        <v>620</v>
      </c>
      <c r="D214" t="s">
        <v>5</v>
      </c>
      <c r="E214" t="s">
        <v>648</v>
      </c>
      <c r="J214" t="s">
        <v>897</v>
      </c>
      <c r="L214" t="s">
        <v>898</v>
      </c>
      <c r="M214" t="s">
        <v>899</v>
      </c>
    </row>
    <row r="215" spans="2:13" x14ac:dyDescent="0.2">
      <c r="B215" t="s">
        <v>1135</v>
      </c>
      <c r="C215" t="s">
        <v>278</v>
      </c>
      <c r="D215" t="s">
        <v>5</v>
      </c>
      <c r="E215" t="s">
        <v>702</v>
      </c>
      <c r="J215" t="s">
        <v>897</v>
      </c>
      <c r="L215" t="s">
        <v>898</v>
      </c>
      <c r="M215" t="s">
        <v>899</v>
      </c>
    </row>
    <row r="216" spans="2:13" x14ac:dyDescent="0.2">
      <c r="B216">
        <v>106566047</v>
      </c>
      <c r="C216" t="s">
        <v>616</v>
      </c>
      <c r="D216" t="s">
        <v>5</v>
      </c>
      <c r="E216" t="s">
        <v>732</v>
      </c>
      <c r="J216" t="s">
        <v>897</v>
      </c>
      <c r="L216" t="s">
        <v>898</v>
      </c>
      <c r="M216" t="s">
        <v>899</v>
      </c>
    </row>
    <row r="217" spans="2:13" x14ac:dyDescent="0.2">
      <c r="B217">
        <v>106569341</v>
      </c>
      <c r="C217" t="s">
        <v>565</v>
      </c>
      <c r="D217" t="s">
        <v>5</v>
      </c>
      <c r="E217" t="s">
        <v>699</v>
      </c>
      <c r="J217" t="s">
        <v>897</v>
      </c>
      <c r="L217" t="s">
        <v>898</v>
      </c>
      <c r="M217" t="s">
        <v>899</v>
      </c>
    </row>
    <row r="218" spans="2:13" x14ac:dyDescent="0.2">
      <c r="B218" t="s">
        <v>1136</v>
      </c>
      <c r="C218" t="s">
        <v>443</v>
      </c>
      <c r="D218" t="s">
        <v>5</v>
      </c>
      <c r="E218" t="s">
        <v>700</v>
      </c>
      <c r="J218" t="s">
        <v>897</v>
      </c>
      <c r="L218" t="s">
        <v>898</v>
      </c>
      <c r="M218" t="s">
        <v>899</v>
      </c>
    </row>
    <row r="219" spans="2:13" x14ac:dyDescent="0.2">
      <c r="B219">
        <v>106565616</v>
      </c>
      <c r="C219" t="s">
        <v>598</v>
      </c>
      <c r="D219" t="s">
        <v>5</v>
      </c>
      <c r="E219" t="s">
        <v>732</v>
      </c>
      <c r="J219" t="s">
        <v>897</v>
      </c>
      <c r="L219" t="s">
        <v>898</v>
      </c>
      <c r="M219" t="s">
        <v>899</v>
      </c>
    </row>
    <row r="220" spans="2:13" x14ac:dyDescent="0.2">
      <c r="B220">
        <v>106581837</v>
      </c>
      <c r="C220" t="s">
        <v>569</v>
      </c>
      <c r="D220" t="s">
        <v>5</v>
      </c>
      <c r="E220" t="s">
        <v>818</v>
      </c>
      <c r="J220" t="s">
        <v>897</v>
      </c>
      <c r="L220" t="s">
        <v>898</v>
      </c>
      <c r="M220" t="s">
        <v>899</v>
      </c>
    </row>
    <row r="221" spans="2:13" x14ac:dyDescent="0.2">
      <c r="B221">
        <v>106586152</v>
      </c>
      <c r="C221" t="s">
        <v>62</v>
      </c>
      <c r="D221" t="s">
        <v>5</v>
      </c>
      <c r="E221" t="s">
        <v>820</v>
      </c>
      <c r="J221" t="s">
        <v>897</v>
      </c>
      <c r="L221" t="s">
        <v>898</v>
      </c>
      <c r="M221" t="s">
        <v>899</v>
      </c>
    </row>
    <row r="222" spans="2:13" x14ac:dyDescent="0.2">
      <c r="B222" t="s">
        <v>1137</v>
      </c>
      <c r="C222" t="s">
        <v>600</v>
      </c>
      <c r="D222" t="s">
        <v>5</v>
      </c>
      <c r="E222" t="s">
        <v>734</v>
      </c>
      <c r="J222" t="s">
        <v>897</v>
      </c>
      <c r="L222" t="s">
        <v>898</v>
      </c>
      <c r="M222" t="s">
        <v>899</v>
      </c>
    </row>
    <row r="223" spans="2:13" x14ac:dyDescent="0.2">
      <c r="B223" t="s">
        <v>1138</v>
      </c>
      <c r="C223" t="s">
        <v>555</v>
      </c>
      <c r="D223" t="s">
        <v>5</v>
      </c>
      <c r="E223" t="s">
        <v>726</v>
      </c>
      <c r="J223" t="s">
        <v>897</v>
      </c>
      <c r="L223" t="s">
        <v>898</v>
      </c>
      <c r="M223" t="s">
        <v>899</v>
      </c>
    </row>
    <row r="224" spans="2:13" x14ac:dyDescent="0.2">
      <c r="B224" t="s">
        <v>903</v>
      </c>
      <c r="C224" t="s">
        <v>22</v>
      </c>
      <c r="D224" t="s">
        <v>5</v>
      </c>
      <c r="E224" t="s">
        <v>680</v>
      </c>
      <c r="J224" t="s">
        <v>897</v>
      </c>
      <c r="L224" t="s">
        <v>898</v>
      </c>
      <c r="M224" t="s">
        <v>899</v>
      </c>
    </row>
    <row r="225" spans="2:13" x14ac:dyDescent="0.2">
      <c r="B225" t="s">
        <v>1139</v>
      </c>
      <c r="C225" t="s">
        <v>534</v>
      </c>
      <c r="D225" t="s">
        <v>5</v>
      </c>
      <c r="E225" t="s">
        <v>673</v>
      </c>
      <c r="J225" t="s">
        <v>897</v>
      </c>
      <c r="L225" t="s">
        <v>898</v>
      </c>
      <c r="M225" t="s">
        <v>899</v>
      </c>
    </row>
    <row r="226" spans="2:13" x14ac:dyDescent="0.2">
      <c r="B226" t="s">
        <v>1140</v>
      </c>
      <c r="C226" t="s">
        <v>606</v>
      </c>
      <c r="D226" t="s">
        <v>5</v>
      </c>
      <c r="E226" t="s">
        <v>654</v>
      </c>
      <c r="J226" t="s">
        <v>897</v>
      </c>
      <c r="L226" t="s">
        <v>898</v>
      </c>
      <c r="M226" t="s">
        <v>899</v>
      </c>
    </row>
    <row r="227" spans="2:13" x14ac:dyDescent="0.2">
      <c r="B227" t="s">
        <v>904</v>
      </c>
      <c r="C227" t="s">
        <v>579</v>
      </c>
      <c r="D227" t="s">
        <v>5</v>
      </c>
      <c r="E227" t="s">
        <v>652</v>
      </c>
      <c r="J227" t="s">
        <v>897</v>
      </c>
      <c r="L227" t="s">
        <v>898</v>
      </c>
      <c r="M227" t="s">
        <v>899</v>
      </c>
    </row>
    <row r="228" spans="2:13" x14ac:dyDescent="0.2">
      <c r="B228" t="s">
        <v>1141</v>
      </c>
      <c r="C228" t="s">
        <v>288</v>
      </c>
      <c r="D228" t="s">
        <v>5</v>
      </c>
      <c r="E228" t="s">
        <v>700</v>
      </c>
      <c r="J228" t="s">
        <v>897</v>
      </c>
      <c r="L228" t="s">
        <v>898</v>
      </c>
      <c r="M228" t="s">
        <v>899</v>
      </c>
    </row>
    <row r="229" spans="2:13" x14ac:dyDescent="0.2">
      <c r="B229" t="s">
        <v>1142</v>
      </c>
      <c r="C229" t="s">
        <v>590</v>
      </c>
      <c r="D229" t="s">
        <v>5</v>
      </c>
      <c r="E229" t="s">
        <v>693</v>
      </c>
      <c r="J229" t="s">
        <v>897</v>
      </c>
      <c r="L229" t="s">
        <v>898</v>
      </c>
      <c r="M229" t="s">
        <v>899</v>
      </c>
    </row>
    <row r="230" spans="2:13" x14ac:dyDescent="0.2">
      <c r="B230" t="s">
        <v>1143</v>
      </c>
      <c r="C230" t="s">
        <v>397</v>
      </c>
      <c r="D230" t="s">
        <v>5</v>
      </c>
      <c r="E230" t="s">
        <v>732</v>
      </c>
      <c r="H230" t="s">
        <v>1144</v>
      </c>
      <c r="I230" t="s">
        <v>1145</v>
      </c>
      <c r="L230" t="s">
        <v>1146</v>
      </c>
      <c r="M230" t="s">
        <v>1147</v>
      </c>
    </row>
    <row r="231" spans="2:13" x14ac:dyDescent="0.2">
      <c r="B231" t="s">
        <v>1148</v>
      </c>
      <c r="C231" t="s">
        <v>335</v>
      </c>
      <c r="D231" t="s">
        <v>5</v>
      </c>
      <c r="E231" t="s">
        <v>733</v>
      </c>
    </row>
    <row r="232" spans="2:13" x14ac:dyDescent="0.2">
      <c r="B232" t="s">
        <v>1149</v>
      </c>
      <c r="C232" t="s">
        <v>495</v>
      </c>
      <c r="D232" t="s">
        <v>5</v>
      </c>
      <c r="E232" t="s">
        <v>650</v>
      </c>
      <c r="H232" t="s">
        <v>656</v>
      </c>
      <c r="L232" t="s">
        <v>657</v>
      </c>
    </row>
    <row r="233" spans="2:13" x14ac:dyDescent="0.2">
      <c r="B233" t="s">
        <v>1150</v>
      </c>
      <c r="C233" t="s">
        <v>100</v>
      </c>
      <c r="D233" t="s">
        <v>5</v>
      </c>
      <c r="E233" t="s">
        <v>680</v>
      </c>
      <c r="H233" t="s">
        <v>656</v>
      </c>
      <c r="L233" t="s">
        <v>657</v>
      </c>
    </row>
    <row r="234" spans="2:13" x14ac:dyDescent="0.2">
      <c r="B234">
        <v>106589299</v>
      </c>
      <c r="C234" t="s">
        <v>581</v>
      </c>
      <c r="D234" t="s">
        <v>5</v>
      </c>
      <c r="E234" t="s">
        <v>714</v>
      </c>
      <c r="J234" t="s">
        <v>897</v>
      </c>
      <c r="L234" t="s">
        <v>898</v>
      </c>
      <c r="M234" t="s">
        <v>899</v>
      </c>
    </row>
    <row r="235" spans="2:13" x14ac:dyDescent="0.2">
      <c r="B235">
        <v>106579325</v>
      </c>
      <c r="C235" t="s">
        <v>592</v>
      </c>
      <c r="D235" t="s">
        <v>5</v>
      </c>
      <c r="E235" t="s">
        <v>639</v>
      </c>
      <c r="J235" t="s">
        <v>897</v>
      </c>
      <c r="L235" t="s">
        <v>898</v>
      </c>
      <c r="M235" t="s">
        <v>899</v>
      </c>
    </row>
    <row r="236" spans="2:13" x14ac:dyDescent="0.2">
      <c r="B236" t="s">
        <v>1151</v>
      </c>
      <c r="C236" t="s">
        <v>538</v>
      </c>
      <c r="D236" t="s">
        <v>5</v>
      </c>
      <c r="E236" t="s">
        <v>729</v>
      </c>
      <c r="L236" t="s">
        <v>852</v>
      </c>
      <c r="M236" t="s">
        <v>853</v>
      </c>
    </row>
    <row r="237" spans="2:13" x14ac:dyDescent="0.2">
      <c r="B237" t="s">
        <v>1152</v>
      </c>
      <c r="C237" t="s">
        <v>132</v>
      </c>
      <c r="D237" t="s">
        <v>5</v>
      </c>
      <c r="E237" t="s">
        <v>654</v>
      </c>
      <c r="L237" t="s">
        <v>908</v>
      </c>
    </row>
    <row r="238" spans="2:13" x14ac:dyDescent="0.2">
      <c r="B238" t="s">
        <v>1153</v>
      </c>
      <c r="C238" t="s">
        <v>435</v>
      </c>
      <c r="D238" t="s">
        <v>5</v>
      </c>
      <c r="E238" t="s">
        <v>734</v>
      </c>
      <c r="L238" t="s">
        <v>908</v>
      </c>
    </row>
    <row r="239" spans="2:13" x14ac:dyDescent="0.2">
      <c r="B239" t="s">
        <v>909</v>
      </c>
      <c r="C239" t="s">
        <v>561</v>
      </c>
      <c r="D239" t="s">
        <v>5</v>
      </c>
      <c r="E239" t="s">
        <v>669</v>
      </c>
      <c r="L239" t="s">
        <v>908</v>
      </c>
    </row>
    <row r="240" spans="2:13" x14ac:dyDescent="0.2">
      <c r="B240" t="s">
        <v>1154</v>
      </c>
      <c r="C240" t="s">
        <v>134</v>
      </c>
      <c r="D240" t="s">
        <v>5</v>
      </c>
      <c r="E240" t="s">
        <v>670</v>
      </c>
      <c r="L240" t="s">
        <v>908</v>
      </c>
    </row>
    <row r="241" spans="2:13" x14ac:dyDescent="0.2">
      <c r="B241" t="s">
        <v>1155</v>
      </c>
      <c r="C241" t="s">
        <v>451</v>
      </c>
      <c r="D241" t="s">
        <v>5</v>
      </c>
      <c r="E241" t="s">
        <v>732</v>
      </c>
    </row>
    <row r="242" spans="2:13" x14ac:dyDescent="0.2">
      <c r="B242" t="s">
        <v>1156</v>
      </c>
      <c r="C242" t="s">
        <v>286</v>
      </c>
      <c r="D242" t="s">
        <v>5</v>
      </c>
      <c r="E242" t="s">
        <v>726</v>
      </c>
      <c r="L242" t="s">
        <v>912</v>
      </c>
      <c r="M242" t="s">
        <v>913</v>
      </c>
    </row>
    <row r="243" spans="2:13" x14ac:dyDescent="0.2">
      <c r="B243" t="s">
        <v>1157</v>
      </c>
      <c r="C243" t="s">
        <v>497</v>
      </c>
      <c r="D243" t="s">
        <v>5</v>
      </c>
      <c r="E243" t="s">
        <v>654</v>
      </c>
      <c r="H243" t="s">
        <v>915</v>
      </c>
      <c r="J243" t="s">
        <v>740</v>
      </c>
      <c r="L243" t="s">
        <v>741</v>
      </c>
      <c r="M243" t="s">
        <v>742</v>
      </c>
    </row>
    <row r="244" spans="2:13" x14ac:dyDescent="0.2">
      <c r="B244" t="s">
        <v>1158</v>
      </c>
      <c r="C244" t="s">
        <v>248</v>
      </c>
      <c r="D244" t="s">
        <v>5</v>
      </c>
      <c r="E244" t="s">
        <v>699</v>
      </c>
      <c r="H244" t="s">
        <v>915</v>
      </c>
      <c r="J244" t="s">
        <v>740</v>
      </c>
      <c r="L244" t="s">
        <v>741</v>
      </c>
      <c r="M244" t="s">
        <v>742</v>
      </c>
    </row>
    <row r="245" spans="2:13" x14ac:dyDescent="0.2">
      <c r="B245" t="s">
        <v>1159</v>
      </c>
      <c r="C245" t="s">
        <v>530</v>
      </c>
      <c r="D245" t="s">
        <v>5</v>
      </c>
      <c r="E245" t="s">
        <v>673</v>
      </c>
      <c r="H245" t="s">
        <v>915</v>
      </c>
      <c r="J245" t="s">
        <v>740</v>
      </c>
      <c r="L245" t="s">
        <v>741</v>
      </c>
      <c r="M245" t="s">
        <v>742</v>
      </c>
    </row>
    <row r="246" spans="2:13" x14ac:dyDescent="0.2">
      <c r="B246" t="s">
        <v>1160</v>
      </c>
      <c r="C246" t="s">
        <v>524</v>
      </c>
      <c r="D246" t="s">
        <v>5</v>
      </c>
      <c r="E246" t="s">
        <v>732</v>
      </c>
      <c r="L246" t="s">
        <v>916</v>
      </c>
    </row>
    <row r="247" spans="2:13" x14ac:dyDescent="0.2">
      <c r="B247" t="s">
        <v>1161</v>
      </c>
      <c r="C247" t="s">
        <v>441</v>
      </c>
      <c r="D247" t="s">
        <v>5</v>
      </c>
      <c r="E247" t="s">
        <v>733</v>
      </c>
      <c r="L247" t="s">
        <v>916</v>
      </c>
    </row>
    <row r="248" spans="2:13" x14ac:dyDescent="0.2">
      <c r="B248" t="s">
        <v>1162</v>
      </c>
      <c r="C248" t="s">
        <v>353</v>
      </c>
      <c r="D248" t="s">
        <v>5</v>
      </c>
      <c r="E248" t="s">
        <v>726</v>
      </c>
    </row>
    <row r="249" spans="2:13" x14ac:dyDescent="0.2">
      <c r="B249" t="s">
        <v>1163</v>
      </c>
      <c r="C249" t="s">
        <v>461</v>
      </c>
      <c r="D249" t="s">
        <v>5</v>
      </c>
      <c r="E249" t="s">
        <v>734</v>
      </c>
      <c r="L249" t="s">
        <v>912</v>
      </c>
      <c r="M249" t="s">
        <v>913</v>
      </c>
    </row>
    <row r="250" spans="2:13" x14ac:dyDescent="0.2">
      <c r="B250" t="s">
        <v>1164</v>
      </c>
      <c r="C250" t="s">
        <v>421</v>
      </c>
      <c r="D250" t="s">
        <v>5</v>
      </c>
      <c r="E250" t="s">
        <v>734</v>
      </c>
      <c r="L250" t="s">
        <v>912</v>
      </c>
      <c r="M250" t="s">
        <v>913</v>
      </c>
    </row>
    <row r="251" spans="2:13" x14ac:dyDescent="0.2">
      <c r="B251" t="s">
        <v>920</v>
      </c>
      <c r="C251" t="s">
        <v>577</v>
      </c>
      <c r="D251" t="s">
        <v>5</v>
      </c>
      <c r="E251" t="s">
        <v>726</v>
      </c>
      <c r="L251" t="s">
        <v>912</v>
      </c>
      <c r="M251" t="s">
        <v>913</v>
      </c>
    </row>
    <row r="252" spans="2:13" x14ac:dyDescent="0.2">
      <c r="B252" t="s">
        <v>1165</v>
      </c>
      <c r="C252" t="s">
        <v>502</v>
      </c>
      <c r="D252" t="s">
        <v>5</v>
      </c>
      <c r="E252" t="s">
        <v>675</v>
      </c>
      <c r="L252" t="s">
        <v>912</v>
      </c>
      <c r="M252" t="s">
        <v>913</v>
      </c>
    </row>
    <row r="253" spans="2:13" x14ac:dyDescent="0.2">
      <c r="B253" t="s">
        <v>1166</v>
      </c>
      <c r="C253" t="s">
        <v>90</v>
      </c>
      <c r="D253" t="s">
        <v>5</v>
      </c>
      <c r="E253" t="s">
        <v>654</v>
      </c>
      <c r="H253" t="s">
        <v>922</v>
      </c>
      <c r="I253" t="s">
        <v>923</v>
      </c>
      <c r="L253" t="s">
        <v>924</v>
      </c>
    </row>
    <row r="254" spans="2:13" x14ac:dyDescent="0.2">
      <c r="B254" t="s">
        <v>1167</v>
      </c>
      <c r="C254" t="s">
        <v>363</v>
      </c>
      <c r="D254" t="s">
        <v>5</v>
      </c>
      <c r="E254" t="s">
        <v>729</v>
      </c>
      <c r="H254" t="s">
        <v>922</v>
      </c>
      <c r="I254" t="s">
        <v>923</v>
      </c>
      <c r="L254" t="s">
        <v>924</v>
      </c>
    </row>
    <row r="255" spans="2:13" x14ac:dyDescent="0.2">
      <c r="B255" t="s">
        <v>1168</v>
      </c>
      <c r="C255" t="s">
        <v>506</v>
      </c>
      <c r="D255" t="s">
        <v>5</v>
      </c>
      <c r="E255" t="s">
        <v>714</v>
      </c>
      <c r="H255" t="s">
        <v>926</v>
      </c>
      <c r="I255" t="s">
        <v>927</v>
      </c>
      <c r="L255" t="s">
        <v>928</v>
      </c>
    </row>
    <row r="256" spans="2:13" x14ac:dyDescent="0.2">
      <c r="B256" t="s">
        <v>1169</v>
      </c>
      <c r="C256" t="s">
        <v>479</v>
      </c>
      <c r="D256" t="s">
        <v>5</v>
      </c>
      <c r="E256" t="s">
        <v>654</v>
      </c>
      <c r="H256" t="s">
        <v>922</v>
      </c>
      <c r="I256" t="s">
        <v>923</v>
      </c>
      <c r="L256" t="s">
        <v>924</v>
      </c>
    </row>
    <row r="257" spans="2:13" x14ac:dyDescent="0.2">
      <c r="B257" t="s">
        <v>1170</v>
      </c>
      <c r="C257" t="s">
        <v>331</v>
      </c>
      <c r="D257" t="s">
        <v>5</v>
      </c>
      <c r="E257" t="s">
        <v>639</v>
      </c>
      <c r="H257" t="s">
        <v>922</v>
      </c>
      <c r="I257" t="s">
        <v>923</v>
      </c>
      <c r="L257" t="s">
        <v>924</v>
      </c>
    </row>
    <row r="258" spans="2:13" x14ac:dyDescent="0.2">
      <c r="B258" t="s">
        <v>1171</v>
      </c>
      <c r="C258" t="s">
        <v>296</v>
      </c>
      <c r="D258" t="s">
        <v>5</v>
      </c>
      <c r="E258" t="s">
        <v>650</v>
      </c>
      <c r="H258" t="s">
        <v>926</v>
      </c>
      <c r="I258" t="s">
        <v>927</v>
      </c>
      <c r="L258" t="s">
        <v>928</v>
      </c>
    </row>
    <row r="259" spans="2:13" x14ac:dyDescent="0.2">
      <c r="B259" t="s">
        <v>1172</v>
      </c>
      <c r="C259" t="s">
        <v>419</v>
      </c>
      <c r="D259" t="s">
        <v>5</v>
      </c>
      <c r="E259" t="s">
        <v>688</v>
      </c>
      <c r="H259" t="s">
        <v>640</v>
      </c>
      <c r="I259" t="s">
        <v>858</v>
      </c>
      <c r="L259" t="s">
        <v>1173</v>
      </c>
    </row>
    <row r="260" spans="2:13" x14ac:dyDescent="0.2">
      <c r="B260" t="s">
        <v>1174</v>
      </c>
      <c r="C260" t="s">
        <v>280</v>
      </c>
      <c r="D260" t="s">
        <v>5</v>
      </c>
      <c r="E260" t="s">
        <v>644</v>
      </c>
      <c r="H260" t="s">
        <v>926</v>
      </c>
      <c r="I260" t="s">
        <v>927</v>
      </c>
      <c r="L260" t="s">
        <v>928</v>
      </c>
    </row>
    <row r="261" spans="2:13" x14ac:dyDescent="0.2">
      <c r="B261" t="s">
        <v>1175</v>
      </c>
      <c r="C261" t="s">
        <v>188</v>
      </c>
      <c r="D261" t="s">
        <v>5</v>
      </c>
      <c r="E261" t="s">
        <v>729</v>
      </c>
      <c r="H261" t="s">
        <v>930</v>
      </c>
      <c r="L261" t="s">
        <v>931</v>
      </c>
      <c r="M261" t="s">
        <v>932</v>
      </c>
    </row>
    <row r="262" spans="2:13" x14ac:dyDescent="0.2">
      <c r="B262" t="s">
        <v>1176</v>
      </c>
      <c r="C262" t="s">
        <v>433</v>
      </c>
      <c r="D262" t="s">
        <v>5</v>
      </c>
      <c r="E262" t="s">
        <v>734</v>
      </c>
      <c r="H262" t="s">
        <v>930</v>
      </c>
      <c r="L262" t="s">
        <v>931</v>
      </c>
      <c r="M262" t="s">
        <v>932</v>
      </c>
    </row>
    <row r="263" spans="2:13" x14ac:dyDescent="0.2">
      <c r="B263" t="s">
        <v>1177</v>
      </c>
      <c r="C263" t="s">
        <v>483</v>
      </c>
      <c r="D263" t="s">
        <v>5</v>
      </c>
      <c r="E263" t="s">
        <v>669</v>
      </c>
      <c r="H263" t="s">
        <v>930</v>
      </c>
      <c r="L263" t="s">
        <v>931</v>
      </c>
      <c r="M263" t="s">
        <v>932</v>
      </c>
    </row>
    <row r="264" spans="2:13" x14ac:dyDescent="0.2">
      <c r="B264">
        <v>106603521</v>
      </c>
      <c r="C264" t="s">
        <v>176</v>
      </c>
      <c r="D264" t="s">
        <v>5</v>
      </c>
      <c r="E264" t="s">
        <v>644</v>
      </c>
      <c r="H264" t="s">
        <v>930</v>
      </c>
      <c r="L264" t="s">
        <v>931</v>
      </c>
      <c r="M264" t="s">
        <v>932</v>
      </c>
    </row>
    <row r="265" spans="2:13" x14ac:dyDescent="0.2">
      <c r="B265" t="s">
        <v>1178</v>
      </c>
      <c r="C265" t="s">
        <v>357</v>
      </c>
      <c r="D265" t="s">
        <v>5</v>
      </c>
      <c r="E265" t="s">
        <v>644</v>
      </c>
      <c r="H265" t="s">
        <v>934</v>
      </c>
      <c r="L265" t="s">
        <v>935</v>
      </c>
    </row>
    <row r="266" spans="2:13" x14ac:dyDescent="0.2">
      <c r="B266" t="s">
        <v>1179</v>
      </c>
      <c r="C266" t="s">
        <v>349</v>
      </c>
      <c r="D266" t="s">
        <v>5</v>
      </c>
      <c r="E266" t="s">
        <v>647</v>
      </c>
      <c r="H266" t="s">
        <v>934</v>
      </c>
      <c r="L266" t="s">
        <v>935</v>
      </c>
    </row>
    <row r="267" spans="2:13" x14ac:dyDescent="0.2">
      <c r="B267" t="s">
        <v>937</v>
      </c>
      <c r="C267" t="s">
        <v>106</v>
      </c>
      <c r="D267" t="s">
        <v>5</v>
      </c>
      <c r="E267" t="s">
        <v>726</v>
      </c>
      <c r="L267" t="s">
        <v>796</v>
      </c>
    </row>
    <row r="268" spans="2:13" x14ac:dyDescent="0.2">
      <c r="B268" t="s">
        <v>1180</v>
      </c>
      <c r="C268" t="s">
        <v>186</v>
      </c>
      <c r="D268" t="s">
        <v>5</v>
      </c>
      <c r="E268" t="s">
        <v>652</v>
      </c>
      <c r="L268" t="s">
        <v>796</v>
      </c>
    </row>
    <row r="269" spans="2:13" x14ac:dyDescent="0.2">
      <c r="B269" t="s">
        <v>1181</v>
      </c>
      <c r="C269" t="s">
        <v>220</v>
      </c>
      <c r="D269" t="s">
        <v>5</v>
      </c>
      <c r="E269" t="s">
        <v>644</v>
      </c>
      <c r="L269" t="s">
        <v>796</v>
      </c>
    </row>
    <row r="270" spans="2:13" x14ac:dyDescent="0.2">
      <c r="B270" t="s">
        <v>1182</v>
      </c>
      <c r="C270" t="s">
        <v>262</v>
      </c>
      <c r="D270" t="s">
        <v>5</v>
      </c>
      <c r="E270" t="s">
        <v>699</v>
      </c>
      <c r="L270" t="s">
        <v>796</v>
      </c>
    </row>
    <row r="271" spans="2:13" x14ac:dyDescent="0.2">
      <c r="B271" t="s">
        <v>1183</v>
      </c>
      <c r="C271" t="s">
        <v>36</v>
      </c>
      <c r="D271" t="s">
        <v>5</v>
      </c>
      <c r="E271" t="s">
        <v>700</v>
      </c>
    </row>
    <row r="272" spans="2:13" x14ac:dyDescent="0.2">
      <c r="B272" t="s">
        <v>1184</v>
      </c>
      <c r="C272" t="s">
        <v>244</v>
      </c>
      <c r="D272" t="s">
        <v>5</v>
      </c>
      <c r="E272" t="s">
        <v>699</v>
      </c>
      <c r="H272" t="s">
        <v>640</v>
      </c>
      <c r="I272" t="s">
        <v>941</v>
      </c>
      <c r="L272" t="s">
        <v>942</v>
      </c>
      <c r="M272" t="s">
        <v>750</v>
      </c>
    </row>
    <row r="273" spans="2:13" x14ac:dyDescent="0.2">
      <c r="B273" t="s">
        <v>943</v>
      </c>
      <c r="C273" t="s">
        <v>46</v>
      </c>
      <c r="D273" t="s">
        <v>5</v>
      </c>
      <c r="E273" t="s">
        <v>700</v>
      </c>
      <c r="H273" t="s">
        <v>640</v>
      </c>
      <c r="I273" t="s">
        <v>941</v>
      </c>
      <c r="L273" t="s">
        <v>942</v>
      </c>
      <c r="M273" t="s">
        <v>750</v>
      </c>
    </row>
    <row r="274" spans="2:13" x14ac:dyDescent="0.2">
      <c r="B274" t="s">
        <v>1185</v>
      </c>
      <c r="C274" t="s">
        <v>449</v>
      </c>
      <c r="D274" t="s">
        <v>5</v>
      </c>
      <c r="E274" t="s">
        <v>702</v>
      </c>
      <c r="H274" t="s">
        <v>640</v>
      </c>
      <c r="I274" t="s">
        <v>941</v>
      </c>
      <c r="L274" t="s">
        <v>945</v>
      </c>
      <c r="M274" t="s">
        <v>750</v>
      </c>
    </row>
    <row r="275" spans="2:13" x14ac:dyDescent="0.2">
      <c r="B275" t="s">
        <v>1186</v>
      </c>
      <c r="C275" t="s">
        <v>200</v>
      </c>
      <c r="D275" t="s">
        <v>5</v>
      </c>
      <c r="E275" t="s">
        <v>699</v>
      </c>
      <c r="L275" t="s">
        <v>946</v>
      </c>
    </row>
    <row r="276" spans="2:13" x14ac:dyDescent="0.2">
      <c r="B276" t="s">
        <v>1187</v>
      </c>
      <c r="C276" t="s">
        <v>373</v>
      </c>
      <c r="D276" t="s">
        <v>5</v>
      </c>
      <c r="E276" t="s">
        <v>1077</v>
      </c>
      <c r="L276" t="s">
        <v>1007</v>
      </c>
    </row>
    <row r="277" spans="2:13" x14ac:dyDescent="0.2">
      <c r="B277" t="s">
        <v>1188</v>
      </c>
      <c r="C277" t="s">
        <v>274</v>
      </c>
      <c r="D277" t="s">
        <v>5</v>
      </c>
      <c r="E277" t="s">
        <v>726</v>
      </c>
      <c r="L277" t="s">
        <v>948</v>
      </c>
    </row>
    <row r="278" spans="2:13" x14ac:dyDescent="0.2">
      <c r="B278" t="s">
        <v>1189</v>
      </c>
      <c r="C278" t="s">
        <v>228</v>
      </c>
      <c r="D278" t="s">
        <v>5</v>
      </c>
      <c r="E278" t="s">
        <v>650</v>
      </c>
    </row>
    <row r="279" spans="2:13" x14ac:dyDescent="0.2">
      <c r="B279" t="s">
        <v>949</v>
      </c>
      <c r="C279" t="s">
        <v>58</v>
      </c>
      <c r="D279" t="s">
        <v>5</v>
      </c>
      <c r="E279" t="s">
        <v>729</v>
      </c>
    </row>
    <row r="280" spans="2:13" x14ac:dyDescent="0.2">
      <c r="B280" t="s">
        <v>950</v>
      </c>
      <c r="C280" t="s">
        <v>98</v>
      </c>
      <c r="D280" t="s">
        <v>5</v>
      </c>
      <c r="E280" t="s">
        <v>669</v>
      </c>
    </row>
    <row r="281" spans="2:13" x14ac:dyDescent="0.2">
      <c r="B281" t="s">
        <v>1190</v>
      </c>
      <c r="C281" t="s">
        <v>369</v>
      </c>
      <c r="D281" t="s">
        <v>5</v>
      </c>
      <c r="E281" t="s">
        <v>729</v>
      </c>
    </row>
    <row r="282" spans="2:13" x14ac:dyDescent="0.2">
      <c r="B282" t="s">
        <v>1191</v>
      </c>
      <c r="C282" t="s">
        <v>272</v>
      </c>
      <c r="D282" t="s">
        <v>5</v>
      </c>
      <c r="E282" t="s">
        <v>733</v>
      </c>
    </row>
    <row r="283" spans="2:13" x14ac:dyDescent="0.2">
      <c r="B283" t="s">
        <v>1192</v>
      </c>
      <c r="C283" t="s">
        <v>457</v>
      </c>
      <c r="D283" t="s">
        <v>5</v>
      </c>
      <c r="E283" t="s">
        <v>644</v>
      </c>
    </row>
    <row r="284" spans="2:13" x14ac:dyDescent="0.2">
      <c r="B284" t="s">
        <v>1193</v>
      </c>
      <c r="C284" t="s">
        <v>234</v>
      </c>
      <c r="D284" t="s">
        <v>5</v>
      </c>
      <c r="E284" t="s">
        <v>654</v>
      </c>
      <c r="H284" t="s">
        <v>951</v>
      </c>
      <c r="L284" t="s">
        <v>952</v>
      </c>
      <c r="M284" t="s">
        <v>953</v>
      </c>
    </row>
    <row r="285" spans="2:13" x14ac:dyDescent="0.2">
      <c r="B285" t="s">
        <v>1194</v>
      </c>
      <c r="C285" t="s">
        <v>164</v>
      </c>
      <c r="D285" t="s">
        <v>5</v>
      </c>
      <c r="E285" t="s">
        <v>655</v>
      </c>
      <c r="L285" t="s">
        <v>851</v>
      </c>
      <c r="M285" t="s">
        <v>814</v>
      </c>
    </row>
    <row r="286" spans="2:13" x14ac:dyDescent="0.2">
      <c r="B286" t="s">
        <v>1195</v>
      </c>
      <c r="C286" t="s">
        <v>522</v>
      </c>
      <c r="D286" t="s">
        <v>5</v>
      </c>
      <c r="E286" t="s">
        <v>732</v>
      </c>
    </row>
    <row r="287" spans="2:13" x14ac:dyDescent="0.2">
      <c r="B287" t="s">
        <v>1196</v>
      </c>
      <c r="C287" t="s">
        <v>313</v>
      </c>
      <c r="D287" t="s">
        <v>5</v>
      </c>
      <c r="E287" t="s">
        <v>733</v>
      </c>
    </row>
    <row r="288" spans="2:13" x14ac:dyDescent="0.2">
      <c r="B288" t="s">
        <v>1197</v>
      </c>
      <c r="C288" t="s">
        <v>154</v>
      </c>
      <c r="D288" t="s">
        <v>5</v>
      </c>
      <c r="E288" t="s">
        <v>654</v>
      </c>
    </row>
    <row r="289" spans="2:13" x14ac:dyDescent="0.2">
      <c r="B289" t="s">
        <v>1198</v>
      </c>
      <c r="C289" t="s">
        <v>453</v>
      </c>
      <c r="D289" t="s">
        <v>5</v>
      </c>
      <c r="E289" t="s">
        <v>729</v>
      </c>
    </row>
    <row r="290" spans="2:13" x14ac:dyDescent="0.2">
      <c r="B290" t="s">
        <v>1199</v>
      </c>
      <c r="C290" t="s">
        <v>504</v>
      </c>
      <c r="D290" t="s">
        <v>5</v>
      </c>
      <c r="E290" t="s">
        <v>732</v>
      </c>
      <c r="L290" t="s">
        <v>912</v>
      </c>
      <c r="M290" t="s">
        <v>913</v>
      </c>
    </row>
    <row r="291" spans="2:13" x14ac:dyDescent="0.2">
      <c r="B291" t="s">
        <v>956</v>
      </c>
      <c r="C291" t="s">
        <v>218</v>
      </c>
      <c r="D291" t="s">
        <v>5</v>
      </c>
      <c r="E291" t="s">
        <v>675</v>
      </c>
      <c r="L291" t="s">
        <v>912</v>
      </c>
      <c r="M291" t="s">
        <v>913</v>
      </c>
    </row>
    <row r="292" spans="2:13" x14ac:dyDescent="0.2">
      <c r="B292" t="s">
        <v>1200</v>
      </c>
      <c r="C292" t="s">
        <v>536</v>
      </c>
      <c r="D292" t="s">
        <v>5</v>
      </c>
      <c r="E292" t="s">
        <v>699</v>
      </c>
      <c r="L292" t="s">
        <v>957</v>
      </c>
    </row>
    <row r="293" spans="2:13" x14ac:dyDescent="0.2">
      <c r="B293">
        <v>100136458</v>
      </c>
      <c r="C293" t="s">
        <v>567</v>
      </c>
      <c r="D293" t="s">
        <v>5</v>
      </c>
      <c r="E293" t="s">
        <v>733</v>
      </c>
      <c r="L293" t="s">
        <v>957</v>
      </c>
      <c r="M293" t="s">
        <v>958</v>
      </c>
    </row>
    <row r="294" spans="2:13" x14ac:dyDescent="0.2">
      <c r="B294" t="s">
        <v>1201</v>
      </c>
      <c r="C294" t="s">
        <v>162</v>
      </c>
      <c r="D294" t="s">
        <v>5</v>
      </c>
      <c r="E294" t="s">
        <v>734</v>
      </c>
    </row>
    <row r="295" spans="2:13" x14ac:dyDescent="0.2">
      <c r="B295" t="s">
        <v>959</v>
      </c>
      <c r="C295" t="s">
        <v>102</v>
      </c>
      <c r="D295" t="s">
        <v>5</v>
      </c>
      <c r="E295" t="s">
        <v>733</v>
      </c>
      <c r="M295" t="s">
        <v>756</v>
      </c>
    </row>
    <row r="296" spans="2:13" x14ac:dyDescent="0.2">
      <c r="B296" t="s">
        <v>1202</v>
      </c>
      <c r="C296" t="s">
        <v>196</v>
      </c>
      <c r="D296" t="s">
        <v>5</v>
      </c>
      <c r="E296" t="s">
        <v>669</v>
      </c>
    </row>
    <row r="297" spans="2:13" x14ac:dyDescent="0.2">
      <c r="B297" t="s">
        <v>1203</v>
      </c>
      <c r="C297" t="s">
        <v>463</v>
      </c>
      <c r="D297" t="s">
        <v>5</v>
      </c>
      <c r="E297" t="s">
        <v>700</v>
      </c>
    </row>
    <row r="298" spans="2:13" x14ac:dyDescent="0.2">
      <c r="B298" t="s">
        <v>1204</v>
      </c>
      <c r="C298" t="s">
        <v>467</v>
      </c>
      <c r="D298" t="s">
        <v>5</v>
      </c>
      <c r="E298" t="s">
        <v>655</v>
      </c>
      <c r="H298" t="s">
        <v>703</v>
      </c>
      <c r="L298" t="s">
        <v>704</v>
      </c>
      <c r="M298" t="s">
        <v>710</v>
      </c>
    </row>
    <row r="299" spans="2:13" x14ac:dyDescent="0.2">
      <c r="B299" t="s">
        <v>1205</v>
      </c>
      <c r="C299" t="s">
        <v>471</v>
      </c>
      <c r="D299" t="s">
        <v>5</v>
      </c>
      <c r="E299" t="s">
        <v>650</v>
      </c>
      <c r="L299" t="s">
        <v>727</v>
      </c>
    </row>
    <row r="300" spans="2:13" x14ac:dyDescent="0.2">
      <c r="B300" t="s">
        <v>1206</v>
      </c>
      <c r="C300" t="s">
        <v>118</v>
      </c>
      <c r="D300" t="s">
        <v>5</v>
      </c>
      <c r="E300" t="s">
        <v>669</v>
      </c>
      <c r="L300" t="s">
        <v>727</v>
      </c>
    </row>
    <row r="301" spans="2:13" x14ac:dyDescent="0.2">
      <c r="B301" t="s">
        <v>1207</v>
      </c>
      <c r="C301" t="s">
        <v>407</v>
      </c>
      <c r="D301" t="s">
        <v>5</v>
      </c>
      <c r="E301" t="s">
        <v>714</v>
      </c>
      <c r="L301" t="s">
        <v>727</v>
      </c>
    </row>
    <row r="302" spans="2:13" x14ac:dyDescent="0.2">
      <c r="B302" t="s">
        <v>1208</v>
      </c>
      <c r="C302" t="s">
        <v>571</v>
      </c>
      <c r="D302" t="s">
        <v>5</v>
      </c>
      <c r="E302" t="s">
        <v>655</v>
      </c>
      <c r="J302" t="s">
        <v>897</v>
      </c>
      <c r="L302" t="s">
        <v>898</v>
      </c>
      <c r="M302" t="s">
        <v>899</v>
      </c>
    </row>
    <row r="303" spans="2:13" x14ac:dyDescent="0.2">
      <c r="B303">
        <v>106567052</v>
      </c>
      <c r="C303" t="s">
        <v>594</v>
      </c>
      <c r="D303" t="s">
        <v>5</v>
      </c>
      <c r="E303" t="s">
        <v>734</v>
      </c>
      <c r="J303" t="s">
        <v>897</v>
      </c>
      <c r="L303" t="s">
        <v>898</v>
      </c>
      <c r="M303" t="s">
        <v>899</v>
      </c>
    </row>
    <row r="304" spans="2:13" x14ac:dyDescent="0.2">
      <c r="B304" t="s">
        <v>1209</v>
      </c>
      <c r="C304" t="s">
        <v>610</v>
      </c>
      <c r="D304" t="s">
        <v>5</v>
      </c>
      <c r="E304" t="s">
        <v>734</v>
      </c>
      <c r="J304" t="s">
        <v>897</v>
      </c>
      <c r="L304" t="s">
        <v>898</v>
      </c>
      <c r="M304" t="s">
        <v>899</v>
      </c>
    </row>
    <row r="305" spans="2:13" x14ac:dyDescent="0.2">
      <c r="B305" t="s">
        <v>1210</v>
      </c>
      <c r="C305" t="s">
        <v>172</v>
      </c>
      <c r="D305" t="s">
        <v>5</v>
      </c>
      <c r="E305" t="s">
        <v>675</v>
      </c>
      <c r="J305" t="s">
        <v>897</v>
      </c>
      <c r="L305" t="s">
        <v>898</v>
      </c>
      <c r="M305" t="s">
        <v>899</v>
      </c>
    </row>
    <row r="306" spans="2:13" x14ac:dyDescent="0.2">
      <c r="B306" t="s">
        <v>1211</v>
      </c>
      <c r="C306" t="s">
        <v>82</v>
      </c>
      <c r="D306" t="s">
        <v>5</v>
      </c>
      <c r="E306" t="s">
        <v>675</v>
      </c>
      <c r="J306" t="s">
        <v>897</v>
      </c>
      <c r="L306" t="s">
        <v>898</v>
      </c>
      <c r="M306" t="s">
        <v>899</v>
      </c>
    </row>
    <row r="307" spans="2:13" x14ac:dyDescent="0.2">
      <c r="B307">
        <v>106605854</v>
      </c>
      <c r="C307" t="s">
        <v>626</v>
      </c>
      <c r="D307" t="s">
        <v>5</v>
      </c>
      <c r="E307" t="s">
        <v>733</v>
      </c>
      <c r="J307" t="s">
        <v>897</v>
      </c>
      <c r="L307" t="s">
        <v>898</v>
      </c>
      <c r="M307" t="s">
        <v>899</v>
      </c>
    </row>
    <row r="308" spans="2:13" x14ac:dyDescent="0.2">
      <c r="B308" t="s">
        <v>1212</v>
      </c>
      <c r="C308" t="s">
        <v>614</v>
      </c>
      <c r="D308" t="s">
        <v>5</v>
      </c>
      <c r="E308" t="s">
        <v>734</v>
      </c>
      <c r="J308" t="s">
        <v>897</v>
      </c>
      <c r="L308" t="s">
        <v>898</v>
      </c>
      <c r="M308" t="s">
        <v>899</v>
      </c>
    </row>
    <row r="309" spans="2:13" x14ac:dyDescent="0.2">
      <c r="B309" t="s">
        <v>1213</v>
      </c>
      <c r="C309" t="s">
        <v>252</v>
      </c>
      <c r="D309" t="s">
        <v>5</v>
      </c>
      <c r="E309" t="s">
        <v>774</v>
      </c>
      <c r="J309" t="s">
        <v>897</v>
      </c>
      <c r="L309" t="s">
        <v>898</v>
      </c>
      <c r="M309" t="s">
        <v>899</v>
      </c>
    </row>
    <row r="310" spans="2:13" x14ac:dyDescent="0.2">
      <c r="B310" t="s">
        <v>1214</v>
      </c>
      <c r="C310" t="s">
        <v>367</v>
      </c>
      <c r="D310" t="s">
        <v>5</v>
      </c>
      <c r="E310" t="s">
        <v>699</v>
      </c>
      <c r="J310" t="s">
        <v>897</v>
      </c>
      <c r="L310" t="s">
        <v>898</v>
      </c>
      <c r="M310" t="s">
        <v>899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2A1F1-B74A-4A59-8D89-8A812708358D}">
  <dimension ref="F1:AA261"/>
  <sheetViews>
    <sheetView zoomScale="66" zoomScaleNormal="66" workbookViewId="0">
      <selection activeCell="P246" sqref="P246"/>
    </sheetView>
  </sheetViews>
  <sheetFormatPr defaultRowHeight="14.25" x14ac:dyDescent="0.2"/>
  <cols>
    <col min="6" max="6" width="18.5" bestFit="1" customWidth="1"/>
    <col min="14" max="14" width="5.75" customWidth="1"/>
    <col min="15" max="15" width="30.625" customWidth="1"/>
    <col min="16" max="16" width="22.125" customWidth="1"/>
  </cols>
  <sheetData>
    <row r="1" spans="6:27" x14ac:dyDescent="0.2">
      <c r="F1" t="s">
        <v>1325</v>
      </c>
    </row>
    <row r="2" spans="6:27" x14ac:dyDescent="0.2">
      <c r="O2" t="s">
        <v>628</v>
      </c>
      <c r="P2" t="s">
        <v>3</v>
      </c>
      <c r="Q2" t="s">
        <v>2</v>
      </c>
      <c r="R2" t="s">
        <v>629</v>
      </c>
      <c r="S2" t="s">
        <v>630</v>
      </c>
      <c r="T2" t="s">
        <v>631</v>
      </c>
      <c r="U2" t="s">
        <v>632</v>
      </c>
      <c r="V2" t="s">
        <v>633</v>
      </c>
      <c r="W2" t="s">
        <v>634</v>
      </c>
      <c r="X2" t="s">
        <v>635</v>
      </c>
      <c r="Y2" t="s">
        <v>636</v>
      </c>
      <c r="Z2" t="s">
        <v>637</v>
      </c>
      <c r="AA2" t="s">
        <v>638</v>
      </c>
    </row>
    <row r="3" spans="6:27" x14ac:dyDescent="0.2">
      <c r="F3">
        <v>106609140</v>
      </c>
      <c r="G3" t="s">
        <v>304</v>
      </c>
      <c r="O3">
        <v>100380750</v>
      </c>
      <c r="P3" t="s">
        <v>377</v>
      </c>
      <c r="Q3" t="s">
        <v>5</v>
      </c>
      <c r="R3" t="s">
        <v>639</v>
      </c>
      <c r="U3" t="s">
        <v>640</v>
      </c>
      <c r="Y3" t="s">
        <v>641</v>
      </c>
    </row>
    <row r="4" spans="6:27" x14ac:dyDescent="0.2">
      <c r="O4" t="s">
        <v>642</v>
      </c>
      <c r="P4" t="s">
        <v>563</v>
      </c>
      <c r="Q4" t="s">
        <v>5</v>
      </c>
      <c r="R4" t="s">
        <v>639</v>
      </c>
      <c r="U4" t="s">
        <v>640</v>
      </c>
      <c r="Y4" t="s">
        <v>641</v>
      </c>
    </row>
    <row r="5" spans="6:27" x14ac:dyDescent="0.2">
      <c r="O5" t="s">
        <v>643</v>
      </c>
      <c r="P5" t="s">
        <v>242</v>
      </c>
      <c r="Q5" t="s">
        <v>5</v>
      </c>
      <c r="R5" t="s">
        <v>644</v>
      </c>
      <c r="Y5" t="s">
        <v>645</v>
      </c>
    </row>
    <row r="6" spans="6:27" x14ac:dyDescent="0.2">
      <c r="O6" t="s">
        <v>646</v>
      </c>
      <c r="P6" t="s">
        <v>6</v>
      </c>
      <c r="Q6" t="s">
        <v>5</v>
      </c>
      <c r="R6" t="s">
        <v>647</v>
      </c>
      <c r="Y6" t="s">
        <v>645</v>
      </c>
    </row>
    <row r="7" spans="6:27" x14ac:dyDescent="0.2">
      <c r="O7">
        <v>100195278</v>
      </c>
      <c r="P7" t="s">
        <v>148</v>
      </c>
      <c r="Q7" t="s">
        <v>5</v>
      </c>
      <c r="R7" t="s">
        <v>648</v>
      </c>
    </row>
    <row r="8" spans="6:27" x14ac:dyDescent="0.2">
      <c r="O8" t="s">
        <v>649</v>
      </c>
      <c r="P8" t="s">
        <v>50</v>
      </c>
      <c r="Q8" t="s">
        <v>5</v>
      </c>
      <c r="R8" t="s">
        <v>650</v>
      </c>
    </row>
    <row r="9" spans="6:27" x14ac:dyDescent="0.2">
      <c r="O9" t="s">
        <v>651</v>
      </c>
      <c r="P9" t="s">
        <v>290</v>
      </c>
      <c r="Q9" t="s">
        <v>5</v>
      </c>
      <c r="R9" t="s">
        <v>652</v>
      </c>
    </row>
    <row r="10" spans="6:27" x14ac:dyDescent="0.2">
      <c r="O10" t="s">
        <v>653</v>
      </c>
      <c r="P10" t="s">
        <v>379</v>
      </c>
      <c r="Q10" t="s">
        <v>5</v>
      </c>
      <c r="R10" t="s">
        <v>654</v>
      </c>
    </row>
    <row r="11" spans="6:27" x14ac:dyDescent="0.2">
      <c r="O11">
        <v>106560227</v>
      </c>
      <c r="P11" t="s">
        <v>387</v>
      </c>
      <c r="Q11" t="s">
        <v>5</v>
      </c>
      <c r="R11" t="s">
        <v>655</v>
      </c>
      <c r="U11" t="s">
        <v>656</v>
      </c>
      <c r="Y11" t="s">
        <v>657</v>
      </c>
    </row>
    <row r="12" spans="6:27" x14ac:dyDescent="0.2">
      <c r="O12" t="s">
        <v>658</v>
      </c>
      <c r="P12" t="s">
        <v>473</v>
      </c>
      <c r="Q12" t="s">
        <v>5</v>
      </c>
      <c r="R12" t="s">
        <v>639</v>
      </c>
      <c r="U12" t="s">
        <v>659</v>
      </c>
      <c r="Y12" t="s">
        <v>660</v>
      </c>
    </row>
    <row r="13" spans="6:27" x14ac:dyDescent="0.2">
      <c r="O13">
        <v>106563029</v>
      </c>
      <c r="P13" t="s">
        <v>573</v>
      </c>
      <c r="Q13" t="s">
        <v>5</v>
      </c>
      <c r="R13" t="s">
        <v>650</v>
      </c>
      <c r="W13" t="s">
        <v>661</v>
      </c>
      <c r="Y13" t="s">
        <v>662</v>
      </c>
      <c r="AA13" t="s">
        <v>663</v>
      </c>
    </row>
    <row r="14" spans="6:27" x14ac:dyDescent="0.2">
      <c r="O14">
        <v>100196724</v>
      </c>
      <c r="P14" t="s">
        <v>333</v>
      </c>
      <c r="Q14" t="s">
        <v>5</v>
      </c>
      <c r="R14" t="s">
        <v>652</v>
      </c>
      <c r="W14" t="s">
        <v>664</v>
      </c>
      <c r="Y14" t="s">
        <v>665</v>
      </c>
      <c r="Z14" t="s">
        <v>666</v>
      </c>
      <c r="AA14" t="s">
        <v>667</v>
      </c>
    </row>
    <row r="15" spans="6:27" x14ac:dyDescent="0.2">
      <c r="O15" t="s">
        <v>668</v>
      </c>
      <c r="P15" t="s">
        <v>222</v>
      </c>
      <c r="Q15" t="s">
        <v>5</v>
      </c>
      <c r="R15" t="s">
        <v>669</v>
      </c>
    </row>
    <row r="16" spans="6:27" x14ac:dyDescent="0.2">
      <c r="O16">
        <v>106561138</v>
      </c>
      <c r="P16" t="s">
        <v>409</v>
      </c>
      <c r="Q16" t="s">
        <v>5</v>
      </c>
      <c r="R16" t="s">
        <v>654</v>
      </c>
    </row>
    <row r="17" spans="15:26" x14ac:dyDescent="0.2">
      <c r="O17">
        <v>106585282</v>
      </c>
      <c r="P17" t="s">
        <v>508</v>
      </c>
      <c r="Q17" t="s">
        <v>5</v>
      </c>
      <c r="R17" t="s">
        <v>670</v>
      </c>
    </row>
    <row r="18" spans="15:26" x14ac:dyDescent="0.2">
      <c r="O18" t="s">
        <v>671</v>
      </c>
      <c r="P18" t="s">
        <v>184</v>
      </c>
      <c r="Q18" t="s">
        <v>5</v>
      </c>
      <c r="R18" t="s">
        <v>654</v>
      </c>
    </row>
    <row r="19" spans="15:26" x14ac:dyDescent="0.2">
      <c r="O19" t="s">
        <v>672</v>
      </c>
      <c r="P19" t="s">
        <v>351</v>
      </c>
      <c r="Q19" t="s">
        <v>5</v>
      </c>
      <c r="R19" t="s">
        <v>673</v>
      </c>
    </row>
    <row r="20" spans="15:26" x14ac:dyDescent="0.2">
      <c r="O20" t="s">
        <v>674</v>
      </c>
      <c r="P20" t="s">
        <v>64</v>
      </c>
      <c r="Q20" t="s">
        <v>5</v>
      </c>
      <c r="R20" t="s">
        <v>675</v>
      </c>
    </row>
    <row r="21" spans="15:26" x14ac:dyDescent="0.2">
      <c r="O21" t="s">
        <v>676</v>
      </c>
      <c r="P21" t="s">
        <v>339</v>
      </c>
      <c r="Q21" t="s">
        <v>5</v>
      </c>
      <c r="R21" t="s">
        <v>652</v>
      </c>
      <c r="Y21" t="s">
        <v>677</v>
      </c>
      <c r="Z21" t="s">
        <v>678</v>
      </c>
    </row>
    <row r="22" spans="15:26" x14ac:dyDescent="0.2">
      <c r="O22">
        <v>106577395</v>
      </c>
      <c r="P22" t="s">
        <v>317</v>
      </c>
      <c r="Q22" t="s">
        <v>5</v>
      </c>
      <c r="R22" t="s">
        <v>652</v>
      </c>
    </row>
    <row r="23" spans="15:26" x14ac:dyDescent="0.2">
      <c r="O23" t="s">
        <v>679</v>
      </c>
      <c r="P23" t="s">
        <v>294</v>
      </c>
      <c r="Q23" t="s">
        <v>5</v>
      </c>
      <c r="R23" t="s">
        <v>680</v>
      </c>
      <c r="U23" t="s">
        <v>681</v>
      </c>
      <c r="Y23" t="s">
        <v>682</v>
      </c>
    </row>
    <row r="24" spans="15:26" x14ac:dyDescent="0.2">
      <c r="O24">
        <v>106578589</v>
      </c>
      <c r="P24" t="s">
        <v>347</v>
      </c>
      <c r="Q24" t="s">
        <v>5</v>
      </c>
      <c r="R24" t="s">
        <v>639</v>
      </c>
      <c r="U24" t="s">
        <v>683</v>
      </c>
      <c r="X24" t="s">
        <v>684</v>
      </c>
      <c r="Y24" t="s">
        <v>685</v>
      </c>
      <c r="Z24" t="s">
        <v>686</v>
      </c>
    </row>
    <row r="25" spans="15:26" x14ac:dyDescent="0.2">
      <c r="O25" t="s">
        <v>687</v>
      </c>
      <c r="P25" t="s">
        <v>38</v>
      </c>
      <c r="Q25" t="s">
        <v>5</v>
      </c>
      <c r="R25" t="s">
        <v>688</v>
      </c>
      <c r="U25" t="s">
        <v>683</v>
      </c>
      <c r="X25" t="s">
        <v>684</v>
      </c>
      <c r="Y25" t="s">
        <v>685</v>
      </c>
      <c r="Z25" t="s">
        <v>686</v>
      </c>
    </row>
    <row r="26" spans="15:26" x14ac:dyDescent="0.2">
      <c r="O26">
        <v>100196384</v>
      </c>
      <c r="P26" t="s">
        <v>553</v>
      </c>
      <c r="Q26" t="s">
        <v>5</v>
      </c>
      <c r="R26" t="s">
        <v>652</v>
      </c>
      <c r="Y26" t="s">
        <v>689</v>
      </c>
    </row>
    <row r="27" spans="15:26" x14ac:dyDescent="0.2">
      <c r="O27">
        <v>100286678</v>
      </c>
      <c r="P27" t="s">
        <v>445</v>
      </c>
      <c r="Q27" t="s">
        <v>5</v>
      </c>
      <c r="R27" t="s">
        <v>654</v>
      </c>
      <c r="Y27" t="s">
        <v>689</v>
      </c>
    </row>
    <row r="28" spans="15:26" x14ac:dyDescent="0.2">
      <c r="O28" t="s">
        <v>690</v>
      </c>
      <c r="P28" t="s">
        <v>68</v>
      </c>
      <c r="Q28" t="s">
        <v>5</v>
      </c>
      <c r="R28" t="s">
        <v>673</v>
      </c>
      <c r="Y28" t="s">
        <v>691</v>
      </c>
    </row>
    <row r="29" spans="15:26" x14ac:dyDescent="0.2">
      <c r="O29" t="s">
        <v>692</v>
      </c>
      <c r="P29" t="s">
        <v>92</v>
      </c>
      <c r="Q29" t="s">
        <v>5</v>
      </c>
      <c r="R29" t="s">
        <v>693</v>
      </c>
      <c r="W29" t="s">
        <v>694</v>
      </c>
      <c r="Y29" t="s">
        <v>695</v>
      </c>
      <c r="Z29" t="s">
        <v>696</v>
      </c>
    </row>
    <row r="30" spans="15:26" x14ac:dyDescent="0.2">
      <c r="O30">
        <v>106578258</v>
      </c>
      <c r="P30" t="s">
        <v>608</v>
      </c>
      <c r="Q30" t="s">
        <v>5</v>
      </c>
      <c r="R30" t="s">
        <v>639</v>
      </c>
      <c r="Y30" t="s">
        <v>697</v>
      </c>
    </row>
    <row r="31" spans="15:26" x14ac:dyDescent="0.2">
      <c r="O31">
        <v>106579219</v>
      </c>
      <c r="P31" t="s">
        <v>415</v>
      </c>
      <c r="Q31" t="s">
        <v>5</v>
      </c>
      <c r="R31" t="s">
        <v>639</v>
      </c>
      <c r="Y31" t="s">
        <v>697</v>
      </c>
    </row>
    <row r="32" spans="15:26" x14ac:dyDescent="0.2">
      <c r="O32" t="s">
        <v>698</v>
      </c>
      <c r="P32" t="s">
        <v>250</v>
      </c>
      <c r="Q32" t="s">
        <v>5</v>
      </c>
      <c r="R32" t="s">
        <v>699</v>
      </c>
    </row>
    <row r="33" spans="15:27" x14ac:dyDescent="0.2">
      <c r="O33">
        <v>106596806</v>
      </c>
      <c r="P33" t="s">
        <v>341</v>
      </c>
      <c r="Q33" t="s">
        <v>5</v>
      </c>
      <c r="R33" t="s">
        <v>700</v>
      </c>
    </row>
    <row r="34" spans="15:27" x14ac:dyDescent="0.2">
      <c r="O34">
        <v>106590380</v>
      </c>
      <c r="P34" t="s">
        <v>94</v>
      </c>
      <c r="Q34" t="s">
        <v>5</v>
      </c>
      <c r="R34" t="s">
        <v>688</v>
      </c>
    </row>
    <row r="35" spans="15:27" x14ac:dyDescent="0.2">
      <c r="O35" t="s">
        <v>701</v>
      </c>
      <c r="P35" t="s">
        <v>345</v>
      </c>
      <c r="Q35" t="s">
        <v>5</v>
      </c>
      <c r="R35" t="s">
        <v>702</v>
      </c>
      <c r="U35" t="s">
        <v>703</v>
      </c>
      <c r="Y35" t="s">
        <v>704</v>
      </c>
      <c r="Z35" t="s">
        <v>705</v>
      </c>
    </row>
    <row r="36" spans="15:27" x14ac:dyDescent="0.2">
      <c r="O36">
        <v>106601908</v>
      </c>
      <c r="P36" t="s">
        <v>546</v>
      </c>
      <c r="Q36" t="s">
        <v>5</v>
      </c>
      <c r="R36" t="s">
        <v>700</v>
      </c>
      <c r="U36" t="s">
        <v>703</v>
      </c>
      <c r="W36" t="s">
        <v>706</v>
      </c>
      <c r="Z36" t="s">
        <v>707</v>
      </c>
    </row>
    <row r="37" spans="15:27" x14ac:dyDescent="0.2">
      <c r="O37" t="s">
        <v>708</v>
      </c>
      <c r="P37" t="s">
        <v>192</v>
      </c>
      <c r="Q37" t="s">
        <v>5</v>
      </c>
      <c r="R37" t="s">
        <v>655</v>
      </c>
      <c r="U37" t="s">
        <v>703</v>
      </c>
      <c r="Y37" t="s">
        <v>704</v>
      </c>
      <c r="Z37" t="s">
        <v>705</v>
      </c>
    </row>
    <row r="38" spans="15:27" x14ac:dyDescent="0.2">
      <c r="O38">
        <v>106606379</v>
      </c>
      <c r="P38" t="s">
        <v>144</v>
      </c>
      <c r="Q38" t="s">
        <v>5</v>
      </c>
      <c r="R38" t="s">
        <v>693</v>
      </c>
      <c r="U38" t="s">
        <v>703</v>
      </c>
      <c r="W38" t="s">
        <v>706</v>
      </c>
      <c r="Z38" t="s">
        <v>707</v>
      </c>
    </row>
    <row r="39" spans="15:27" x14ac:dyDescent="0.2">
      <c r="O39" t="s">
        <v>709</v>
      </c>
      <c r="P39" t="s">
        <v>427</v>
      </c>
      <c r="Q39" t="s">
        <v>5</v>
      </c>
      <c r="R39" t="s">
        <v>702</v>
      </c>
      <c r="U39" t="s">
        <v>703</v>
      </c>
      <c r="Y39" t="s">
        <v>704</v>
      </c>
      <c r="Z39" t="s">
        <v>710</v>
      </c>
    </row>
    <row r="40" spans="15:27" x14ac:dyDescent="0.2">
      <c r="O40" t="s">
        <v>711</v>
      </c>
      <c r="P40" t="s">
        <v>152</v>
      </c>
      <c r="Q40" t="s">
        <v>5</v>
      </c>
      <c r="R40" t="s">
        <v>654</v>
      </c>
      <c r="Y40" t="s">
        <v>712</v>
      </c>
    </row>
    <row r="41" spans="15:27" x14ac:dyDescent="0.2">
      <c r="O41" t="s">
        <v>713</v>
      </c>
      <c r="P41" t="s">
        <v>204</v>
      </c>
      <c r="Q41" t="s">
        <v>5</v>
      </c>
      <c r="R41" t="s">
        <v>714</v>
      </c>
      <c r="W41" t="s">
        <v>715</v>
      </c>
      <c r="Y41" t="s">
        <v>716</v>
      </c>
      <c r="Z41" t="s">
        <v>717</v>
      </c>
      <c r="AA41" t="s">
        <v>718</v>
      </c>
    </row>
    <row r="42" spans="15:27" x14ac:dyDescent="0.2">
      <c r="O42" t="s">
        <v>719</v>
      </c>
      <c r="P42" t="s">
        <v>212</v>
      </c>
      <c r="Q42" t="s">
        <v>5</v>
      </c>
      <c r="R42" t="s">
        <v>680</v>
      </c>
      <c r="T42" t="s">
        <v>720</v>
      </c>
      <c r="U42" t="s">
        <v>721</v>
      </c>
      <c r="V42" t="s">
        <v>722</v>
      </c>
      <c r="Y42" t="s">
        <v>723</v>
      </c>
    </row>
    <row r="43" spans="15:27" x14ac:dyDescent="0.2">
      <c r="O43">
        <v>106582798</v>
      </c>
      <c r="P43" t="s">
        <v>18</v>
      </c>
      <c r="Q43" t="s">
        <v>5</v>
      </c>
      <c r="R43" t="s">
        <v>675</v>
      </c>
      <c r="Y43" t="s">
        <v>724</v>
      </c>
    </row>
    <row r="44" spans="15:27" x14ac:dyDescent="0.2">
      <c r="O44">
        <v>100380484</v>
      </c>
      <c r="P44" t="s">
        <v>359</v>
      </c>
      <c r="Q44" t="s">
        <v>5</v>
      </c>
      <c r="R44" t="s">
        <v>693</v>
      </c>
    </row>
    <row r="45" spans="15:27" x14ac:dyDescent="0.2">
      <c r="O45" t="s">
        <v>725</v>
      </c>
      <c r="P45" t="s">
        <v>260</v>
      </c>
      <c r="Q45" t="s">
        <v>5</v>
      </c>
      <c r="R45" t="s">
        <v>726</v>
      </c>
      <c r="Y45" t="s">
        <v>727</v>
      </c>
    </row>
    <row r="46" spans="15:27" x14ac:dyDescent="0.2">
      <c r="O46" t="s">
        <v>728</v>
      </c>
      <c r="P46" t="s">
        <v>198</v>
      </c>
      <c r="Q46" t="s">
        <v>5</v>
      </c>
      <c r="R46" t="s">
        <v>654</v>
      </c>
      <c r="Y46" t="s">
        <v>727</v>
      </c>
    </row>
    <row r="47" spans="15:27" x14ac:dyDescent="0.2">
      <c r="O47">
        <v>106607890</v>
      </c>
      <c r="P47" t="s">
        <v>319</v>
      </c>
      <c r="Q47" t="s">
        <v>5</v>
      </c>
      <c r="R47" t="s">
        <v>693</v>
      </c>
      <c r="Y47" t="s">
        <v>727</v>
      </c>
    </row>
    <row r="48" spans="15:27" x14ac:dyDescent="0.2">
      <c r="O48">
        <v>106610858</v>
      </c>
      <c r="P48" t="s">
        <v>142</v>
      </c>
      <c r="Q48" t="s">
        <v>5</v>
      </c>
      <c r="R48" t="s">
        <v>729</v>
      </c>
      <c r="Y48" t="s">
        <v>727</v>
      </c>
    </row>
    <row r="49" spans="15:27" x14ac:dyDescent="0.2">
      <c r="O49" t="s">
        <v>730</v>
      </c>
      <c r="P49" t="s">
        <v>544</v>
      </c>
      <c r="Q49" t="s">
        <v>5</v>
      </c>
      <c r="R49" t="s">
        <v>644</v>
      </c>
      <c r="Y49" t="s">
        <v>727</v>
      </c>
    </row>
    <row r="50" spans="15:27" x14ac:dyDescent="0.2">
      <c r="O50" t="s">
        <v>731</v>
      </c>
      <c r="P50" t="s">
        <v>429</v>
      </c>
      <c r="Q50" t="s">
        <v>5</v>
      </c>
      <c r="R50" t="s">
        <v>732</v>
      </c>
      <c r="Y50" t="s">
        <v>727</v>
      </c>
    </row>
    <row r="51" spans="15:27" x14ac:dyDescent="0.2">
      <c r="O51">
        <v>106585772</v>
      </c>
      <c r="P51" t="s">
        <v>447</v>
      </c>
      <c r="Q51" t="s">
        <v>5</v>
      </c>
      <c r="R51" t="s">
        <v>733</v>
      </c>
      <c r="Y51" t="s">
        <v>727</v>
      </c>
    </row>
    <row r="52" spans="15:27" x14ac:dyDescent="0.2">
      <c r="O52">
        <v>106566757</v>
      </c>
      <c r="P52" t="s">
        <v>210</v>
      </c>
      <c r="Q52" t="s">
        <v>5</v>
      </c>
      <c r="R52" t="s">
        <v>734</v>
      </c>
      <c r="U52" t="s">
        <v>735</v>
      </c>
      <c r="V52" t="s">
        <v>736</v>
      </c>
      <c r="Y52" t="s">
        <v>737</v>
      </c>
      <c r="Z52" t="s">
        <v>738</v>
      </c>
    </row>
    <row r="53" spans="15:27" x14ac:dyDescent="0.2">
      <c r="O53">
        <v>106571905</v>
      </c>
      <c r="P53" t="s">
        <v>208</v>
      </c>
      <c r="Q53" t="s">
        <v>5</v>
      </c>
      <c r="R53" t="s">
        <v>726</v>
      </c>
      <c r="U53" t="s">
        <v>735</v>
      </c>
      <c r="V53" t="s">
        <v>736</v>
      </c>
      <c r="Y53" t="s">
        <v>737</v>
      </c>
      <c r="Z53" t="s">
        <v>738</v>
      </c>
    </row>
    <row r="54" spans="15:27" x14ac:dyDescent="0.2">
      <c r="O54">
        <v>106583224</v>
      </c>
      <c r="P54" t="s">
        <v>514</v>
      </c>
      <c r="Q54" t="s">
        <v>5</v>
      </c>
      <c r="R54" t="s">
        <v>675</v>
      </c>
    </row>
    <row r="55" spans="15:27" x14ac:dyDescent="0.2">
      <c r="O55" t="s">
        <v>739</v>
      </c>
      <c r="P55" t="s">
        <v>327</v>
      </c>
      <c r="Q55" t="s">
        <v>5</v>
      </c>
      <c r="R55" t="s">
        <v>734</v>
      </c>
      <c r="W55" t="s">
        <v>740</v>
      </c>
      <c r="Y55" t="s">
        <v>741</v>
      </c>
      <c r="Z55" t="s">
        <v>742</v>
      </c>
    </row>
    <row r="56" spans="15:27" x14ac:dyDescent="0.2">
      <c r="O56" t="s">
        <v>743</v>
      </c>
      <c r="P56" t="s">
        <v>230</v>
      </c>
      <c r="Q56" t="s">
        <v>5</v>
      </c>
      <c r="R56" t="s">
        <v>654</v>
      </c>
    </row>
    <row r="57" spans="15:27" x14ac:dyDescent="0.2">
      <c r="O57" t="s">
        <v>744</v>
      </c>
      <c r="P57" t="s">
        <v>122</v>
      </c>
      <c r="Q57" t="s">
        <v>5</v>
      </c>
      <c r="R57" t="s">
        <v>675</v>
      </c>
      <c r="Y57" t="s">
        <v>745</v>
      </c>
      <c r="Z57" t="s">
        <v>746</v>
      </c>
    </row>
    <row r="58" spans="15:27" x14ac:dyDescent="0.2">
      <c r="O58" t="s">
        <v>747</v>
      </c>
      <c r="P58" t="s">
        <v>86</v>
      </c>
      <c r="Q58" t="s">
        <v>5</v>
      </c>
      <c r="R58" t="s">
        <v>693</v>
      </c>
      <c r="W58" t="s">
        <v>748</v>
      </c>
      <c r="Y58" t="s">
        <v>749</v>
      </c>
      <c r="Z58" t="s">
        <v>750</v>
      </c>
      <c r="AA58" t="s">
        <v>751</v>
      </c>
    </row>
    <row r="59" spans="15:27" x14ac:dyDescent="0.2">
      <c r="O59">
        <v>106601607</v>
      </c>
      <c r="P59" t="s">
        <v>104</v>
      </c>
      <c r="Q59" t="s">
        <v>5</v>
      </c>
      <c r="R59" t="s">
        <v>700</v>
      </c>
      <c r="W59" t="s">
        <v>748</v>
      </c>
      <c r="Y59" t="s">
        <v>749</v>
      </c>
      <c r="Z59" t="s">
        <v>750</v>
      </c>
      <c r="AA59" t="s">
        <v>751</v>
      </c>
    </row>
    <row r="60" spans="15:27" x14ac:dyDescent="0.2">
      <c r="O60" t="s">
        <v>752</v>
      </c>
      <c r="P60" t="s">
        <v>150</v>
      </c>
      <c r="Q60" t="s">
        <v>5</v>
      </c>
      <c r="R60" t="s">
        <v>680</v>
      </c>
      <c r="Z60" t="s">
        <v>753</v>
      </c>
    </row>
    <row r="61" spans="15:27" x14ac:dyDescent="0.2">
      <c r="O61" t="s">
        <v>754</v>
      </c>
      <c r="P61" t="s">
        <v>323</v>
      </c>
      <c r="Q61" t="s">
        <v>5</v>
      </c>
      <c r="R61" t="s">
        <v>639</v>
      </c>
      <c r="Y61" t="s">
        <v>755</v>
      </c>
    </row>
    <row r="62" spans="15:27" x14ac:dyDescent="0.2">
      <c r="O62">
        <v>106566905</v>
      </c>
      <c r="P62" t="s">
        <v>481</v>
      </c>
      <c r="Q62" t="s">
        <v>5</v>
      </c>
      <c r="R62" t="s">
        <v>734</v>
      </c>
    </row>
    <row r="63" spans="15:27" x14ac:dyDescent="0.2">
      <c r="O63">
        <v>100196751</v>
      </c>
      <c r="P63" t="s">
        <v>516</v>
      </c>
      <c r="Q63" t="s">
        <v>5</v>
      </c>
      <c r="R63" t="s">
        <v>673</v>
      </c>
      <c r="Z63" t="s">
        <v>756</v>
      </c>
    </row>
    <row r="64" spans="15:27" x14ac:dyDescent="0.2">
      <c r="O64" t="s">
        <v>757</v>
      </c>
      <c r="P64" t="s">
        <v>190</v>
      </c>
      <c r="Q64" t="s">
        <v>5</v>
      </c>
      <c r="R64" t="s">
        <v>732</v>
      </c>
      <c r="Y64" t="s">
        <v>724</v>
      </c>
    </row>
    <row r="65" spans="15:27" x14ac:dyDescent="0.2">
      <c r="O65" t="s">
        <v>758</v>
      </c>
      <c r="P65" t="s">
        <v>26</v>
      </c>
      <c r="Q65" t="s">
        <v>5</v>
      </c>
      <c r="R65" t="s">
        <v>650</v>
      </c>
      <c r="U65" t="s">
        <v>659</v>
      </c>
      <c r="Y65" t="s">
        <v>660</v>
      </c>
    </row>
    <row r="66" spans="15:27" x14ac:dyDescent="0.2">
      <c r="O66" t="s">
        <v>759</v>
      </c>
      <c r="P66" t="s">
        <v>518</v>
      </c>
      <c r="Q66" t="s">
        <v>5</v>
      </c>
      <c r="R66" t="s">
        <v>688</v>
      </c>
      <c r="U66" t="s">
        <v>659</v>
      </c>
      <c r="Y66" t="s">
        <v>660</v>
      </c>
    </row>
    <row r="67" spans="15:27" x14ac:dyDescent="0.2">
      <c r="O67" t="s">
        <v>760</v>
      </c>
      <c r="P67" t="s">
        <v>8</v>
      </c>
      <c r="Q67" t="s">
        <v>5</v>
      </c>
      <c r="R67" t="s">
        <v>644</v>
      </c>
      <c r="U67" t="s">
        <v>659</v>
      </c>
      <c r="Y67" t="s">
        <v>660</v>
      </c>
    </row>
    <row r="68" spans="15:27" x14ac:dyDescent="0.2">
      <c r="O68" t="s">
        <v>761</v>
      </c>
      <c r="P68" t="s">
        <v>96</v>
      </c>
      <c r="Q68" t="s">
        <v>5</v>
      </c>
      <c r="R68" t="s">
        <v>654</v>
      </c>
      <c r="W68" t="s">
        <v>664</v>
      </c>
      <c r="Y68" t="s">
        <v>762</v>
      </c>
      <c r="Z68" t="s">
        <v>666</v>
      </c>
      <c r="AA68" t="s">
        <v>667</v>
      </c>
    </row>
    <row r="69" spans="15:27" x14ac:dyDescent="0.2">
      <c r="O69" t="s">
        <v>763</v>
      </c>
      <c r="P69" t="s">
        <v>70</v>
      </c>
      <c r="Q69" t="s">
        <v>5</v>
      </c>
      <c r="R69" t="s">
        <v>650</v>
      </c>
      <c r="W69" t="s">
        <v>664</v>
      </c>
      <c r="Y69" t="s">
        <v>665</v>
      </c>
      <c r="Z69" t="s">
        <v>666</v>
      </c>
      <c r="AA69" t="s">
        <v>667</v>
      </c>
    </row>
    <row r="70" spans="15:27" x14ac:dyDescent="0.2">
      <c r="O70" t="s">
        <v>764</v>
      </c>
      <c r="P70" t="s">
        <v>311</v>
      </c>
      <c r="Q70" t="s">
        <v>5</v>
      </c>
      <c r="R70" t="s">
        <v>733</v>
      </c>
      <c r="W70" t="s">
        <v>765</v>
      </c>
      <c r="Y70" t="s">
        <v>766</v>
      </c>
      <c r="AA70" t="s">
        <v>767</v>
      </c>
    </row>
    <row r="71" spans="15:27" x14ac:dyDescent="0.2">
      <c r="O71" t="s">
        <v>768</v>
      </c>
      <c r="P71" t="s">
        <v>403</v>
      </c>
      <c r="Q71" t="s">
        <v>5</v>
      </c>
      <c r="R71" t="s">
        <v>673</v>
      </c>
      <c r="W71" t="s">
        <v>765</v>
      </c>
      <c r="Y71" t="s">
        <v>766</v>
      </c>
      <c r="AA71" t="s">
        <v>767</v>
      </c>
    </row>
    <row r="72" spans="15:27" x14ac:dyDescent="0.2">
      <c r="O72" t="s">
        <v>769</v>
      </c>
      <c r="P72" t="s">
        <v>238</v>
      </c>
      <c r="Q72" t="s">
        <v>5</v>
      </c>
      <c r="R72" t="s">
        <v>693</v>
      </c>
      <c r="Y72" t="s">
        <v>770</v>
      </c>
      <c r="Z72" t="s">
        <v>771</v>
      </c>
    </row>
    <row r="73" spans="15:27" x14ac:dyDescent="0.2">
      <c r="O73" t="s">
        <v>772</v>
      </c>
      <c r="P73" t="s">
        <v>28</v>
      </c>
      <c r="Q73" t="s">
        <v>5</v>
      </c>
      <c r="R73" t="s">
        <v>655</v>
      </c>
      <c r="Y73" t="s">
        <v>773</v>
      </c>
    </row>
    <row r="74" spans="15:27" x14ac:dyDescent="0.2">
      <c r="O74">
        <v>106576269</v>
      </c>
      <c r="P74" t="s">
        <v>528</v>
      </c>
      <c r="Q74" t="s">
        <v>5</v>
      </c>
      <c r="R74" t="s">
        <v>774</v>
      </c>
      <c r="Y74" t="s">
        <v>773</v>
      </c>
    </row>
    <row r="75" spans="15:27" x14ac:dyDescent="0.2">
      <c r="O75" t="s">
        <v>775</v>
      </c>
      <c r="P75" t="s">
        <v>48</v>
      </c>
      <c r="Q75" t="s">
        <v>5</v>
      </c>
      <c r="R75" t="s">
        <v>648</v>
      </c>
      <c r="Y75" t="s">
        <v>773</v>
      </c>
    </row>
    <row r="76" spans="15:27" x14ac:dyDescent="0.2">
      <c r="O76" t="s">
        <v>776</v>
      </c>
      <c r="P76" t="s">
        <v>305</v>
      </c>
      <c r="Q76" t="s">
        <v>5</v>
      </c>
      <c r="R76" t="s">
        <v>648</v>
      </c>
      <c r="W76" t="s">
        <v>777</v>
      </c>
      <c r="Y76" t="s">
        <v>778</v>
      </c>
      <c r="AA76" t="s">
        <v>779</v>
      </c>
    </row>
    <row r="77" spans="15:27" x14ac:dyDescent="0.2">
      <c r="O77" t="s">
        <v>780</v>
      </c>
      <c r="P77" t="s">
        <v>465</v>
      </c>
      <c r="Q77" t="s">
        <v>5</v>
      </c>
      <c r="R77" t="s">
        <v>700</v>
      </c>
      <c r="W77" t="s">
        <v>781</v>
      </c>
      <c r="Y77" t="s">
        <v>782</v>
      </c>
      <c r="AA77" t="s">
        <v>783</v>
      </c>
    </row>
    <row r="78" spans="15:27" x14ac:dyDescent="0.2">
      <c r="O78">
        <v>100194974</v>
      </c>
      <c r="P78" t="s">
        <v>455</v>
      </c>
      <c r="Q78" t="s">
        <v>5</v>
      </c>
      <c r="R78" t="s">
        <v>699</v>
      </c>
      <c r="W78" t="s">
        <v>781</v>
      </c>
      <c r="Y78" t="s">
        <v>784</v>
      </c>
      <c r="AA78" t="s">
        <v>783</v>
      </c>
    </row>
    <row r="79" spans="15:27" x14ac:dyDescent="0.2">
      <c r="O79">
        <v>106612044</v>
      </c>
      <c r="P79" t="s">
        <v>612</v>
      </c>
      <c r="Q79" t="s">
        <v>5</v>
      </c>
      <c r="R79" t="s">
        <v>729</v>
      </c>
      <c r="W79" t="s">
        <v>785</v>
      </c>
      <c r="Y79" t="s">
        <v>786</v>
      </c>
      <c r="AA79" t="s">
        <v>751</v>
      </c>
    </row>
    <row r="80" spans="15:27" x14ac:dyDescent="0.2">
      <c r="O80" t="s">
        <v>787</v>
      </c>
      <c r="P80" t="s">
        <v>60</v>
      </c>
      <c r="Q80" t="s">
        <v>5</v>
      </c>
      <c r="R80" t="s">
        <v>669</v>
      </c>
      <c r="W80" t="s">
        <v>785</v>
      </c>
      <c r="Y80" t="s">
        <v>786</v>
      </c>
      <c r="AA80" t="s">
        <v>751</v>
      </c>
    </row>
    <row r="81" spans="15:27" x14ac:dyDescent="0.2">
      <c r="O81" t="s">
        <v>788</v>
      </c>
      <c r="P81" t="s">
        <v>88</v>
      </c>
      <c r="Q81" t="s">
        <v>5</v>
      </c>
      <c r="R81" t="s">
        <v>729</v>
      </c>
      <c r="W81" t="s">
        <v>785</v>
      </c>
      <c r="Y81" t="s">
        <v>786</v>
      </c>
      <c r="AA81" t="s">
        <v>751</v>
      </c>
    </row>
    <row r="82" spans="15:27" x14ac:dyDescent="0.2">
      <c r="O82">
        <v>106575510</v>
      </c>
      <c r="P82" t="s">
        <v>437</v>
      </c>
      <c r="Q82" t="s">
        <v>5</v>
      </c>
      <c r="R82" t="s">
        <v>774</v>
      </c>
      <c r="W82" t="s">
        <v>785</v>
      </c>
      <c r="Y82" t="s">
        <v>786</v>
      </c>
      <c r="AA82" t="s">
        <v>751</v>
      </c>
    </row>
    <row r="83" spans="15:27" x14ac:dyDescent="0.2">
      <c r="O83" t="s">
        <v>789</v>
      </c>
      <c r="P83" t="s">
        <v>156</v>
      </c>
      <c r="Q83" t="s">
        <v>5</v>
      </c>
      <c r="R83" t="s">
        <v>702</v>
      </c>
      <c r="W83" t="s">
        <v>785</v>
      </c>
      <c r="Y83" t="s">
        <v>786</v>
      </c>
      <c r="AA83" t="s">
        <v>751</v>
      </c>
    </row>
    <row r="84" spans="15:27" x14ac:dyDescent="0.2">
      <c r="O84" t="s">
        <v>790</v>
      </c>
      <c r="P84" t="s">
        <v>108</v>
      </c>
      <c r="Q84" t="s">
        <v>5</v>
      </c>
      <c r="R84" t="s">
        <v>670</v>
      </c>
      <c r="Y84" t="s">
        <v>791</v>
      </c>
      <c r="Z84" t="s">
        <v>792</v>
      </c>
    </row>
    <row r="85" spans="15:27" x14ac:dyDescent="0.2">
      <c r="O85" t="s">
        <v>793</v>
      </c>
      <c r="P85" t="s">
        <v>24</v>
      </c>
      <c r="Q85" t="s">
        <v>5</v>
      </c>
      <c r="R85" t="s">
        <v>734</v>
      </c>
      <c r="Y85" t="s">
        <v>791</v>
      </c>
      <c r="Z85" t="s">
        <v>792</v>
      </c>
    </row>
    <row r="86" spans="15:27" x14ac:dyDescent="0.2">
      <c r="O86" t="s">
        <v>794</v>
      </c>
      <c r="P86" t="s">
        <v>158</v>
      </c>
      <c r="Q86" t="s">
        <v>5</v>
      </c>
      <c r="R86" t="s">
        <v>644</v>
      </c>
      <c r="Y86" t="s">
        <v>791</v>
      </c>
      <c r="Z86" t="s">
        <v>792</v>
      </c>
    </row>
    <row r="87" spans="15:27" x14ac:dyDescent="0.2">
      <c r="O87" t="s">
        <v>795</v>
      </c>
      <c r="P87" t="s">
        <v>120</v>
      </c>
      <c r="Q87" t="s">
        <v>5</v>
      </c>
      <c r="R87" t="s">
        <v>734</v>
      </c>
      <c r="Y87" t="s">
        <v>796</v>
      </c>
    </row>
    <row r="88" spans="15:27" x14ac:dyDescent="0.2">
      <c r="O88" t="s">
        <v>797</v>
      </c>
      <c r="P88" t="s">
        <v>66</v>
      </c>
      <c r="Q88" t="s">
        <v>5</v>
      </c>
      <c r="R88" t="s">
        <v>648</v>
      </c>
      <c r="Y88" t="s">
        <v>796</v>
      </c>
    </row>
    <row r="89" spans="15:27" x14ac:dyDescent="0.2">
      <c r="O89">
        <v>106600441</v>
      </c>
      <c r="P89" t="s">
        <v>575</v>
      </c>
      <c r="Q89" t="s">
        <v>5</v>
      </c>
      <c r="R89" t="s">
        <v>700</v>
      </c>
      <c r="U89" t="s">
        <v>681</v>
      </c>
      <c r="Y89" t="s">
        <v>682</v>
      </c>
    </row>
    <row r="90" spans="15:27" x14ac:dyDescent="0.2">
      <c r="O90" t="s">
        <v>798</v>
      </c>
      <c r="P90" t="s">
        <v>431</v>
      </c>
      <c r="Q90" t="s">
        <v>5</v>
      </c>
      <c r="R90" t="s">
        <v>675</v>
      </c>
    </row>
    <row r="91" spans="15:27" x14ac:dyDescent="0.2">
      <c r="O91" t="s">
        <v>799</v>
      </c>
      <c r="P91" t="s">
        <v>206</v>
      </c>
      <c r="Q91" t="s">
        <v>5</v>
      </c>
      <c r="R91" t="s">
        <v>732</v>
      </c>
    </row>
    <row r="92" spans="15:27" x14ac:dyDescent="0.2">
      <c r="O92" t="s">
        <v>800</v>
      </c>
      <c r="P92" t="s">
        <v>34</v>
      </c>
      <c r="Q92" t="s">
        <v>5</v>
      </c>
      <c r="R92" t="s">
        <v>734</v>
      </c>
    </row>
    <row r="93" spans="15:27" x14ac:dyDescent="0.2">
      <c r="O93">
        <v>106585258</v>
      </c>
      <c r="P93" t="s">
        <v>393</v>
      </c>
      <c r="Q93" t="s">
        <v>5</v>
      </c>
      <c r="R93" t="s">
        <v>670</v>
      </c>
      <c r="Y93" t="s">
        <v>801</v>
      </c>
    </row>
    <row r="94" spans="15:27" x14ac:dyDescent="0.2">
      <c r="O94">
        <v>106563639</v>
      </c>
      <c r="P94" t="s">
        <v>583</v>
      </c>
      <c r="Q94" t="s">
        <v>5</v>
      </c>
      <c r="R94" t="s">
        <v>650</v>
      </c>
      <c r="Y94" t="s">
        <v>689</v>
      </c>
    </row>
    <row r="95" spans="15:27" x14ac:dyDescent="0.2">
      <c r="O95" t="s">
        <v>802</v>
      </c>
      <c r="P95" t="s">
        <v>194</v>
      </c>
      <c r="Q95" t="s">
        <v>5</v>
      </c>
      <c r="R95" t="s">
        <v>700</v>
      </c>
      <c r="Y95" t="s">
        <v>689</v>
      </c>
    </row>
    <row r="96" spans="15:27" x14ac:dyDescent="0.2">
      <c r="O96">
        <v>106608398</v>
      </c>
      <c r="P96" t="s">
        <v>128</v>
      </c>
      <c r="Q96" t="s">
        <v>5</v>
      </c>
      <c r="R96" t="s">
        <v>652</v>
      </c>
      <c r="Y96" t="s">
        <v>689</v>
      </c>
    </row>
    <row r="97" spans="15:26" x14ac:dyDescent="0.2">
      <c r="O97">
        <v>100194533</v>
      </c>
      <c r="P97" t="s">
        <v>381</v>
      </c>
      <c r="Q97" t="s">
        <v>5</v>
      </c>
      <c r="R97" t="s">
        <v>729</v>
      </c>
      <c r="Y97" t="s">
        <v>803</v>
      </c>
    </row>
    <row r="98" spans="15:26" x14ac:dyDescent="0.2">
      <c r="O98" t="s">
        <v>804</v>
      </c>
      <c r="P98" t="s">
        <v>32</v>
      </c>
      <c r="Q98" t="s">
        <v>5</v>
      </c>
      <c r="R98" t="s">
        <v>673</v>
      </c>
      <c r="Y98" t="s">
        <v>805</v>
      </c>
      <c r="Z98" t="s">
        <v>806</v>
      </c>
    </row>
    <row r="99" spans="15:26" x14ac:dyDescent="0.2">
      <c r="O99" t="s">
        <v>807</v>
      </c>
      <c r="P99" t="s">
        <v>80</v>
      </c>
      <c r="Q99" t="s">
        <v>5</v>
      </c>
      <c r="R99" t="s">
        <v>734</v>
      </c>
      <c r="Y99" t="s">
        <v>808</v>
      </c>
      <c r="Z99" t="s">
        <v>809</v>
      </c>
    </row>
    <row r="100" spans="15:26" x14ac:dyDescent="0.2">
      <c r="O100">
        <v>106603820</v>
      </c>
      <c r="P100" t="s">
        <v>232</v>
      </c>
      <c r="Q100" t="s">
        <v>5</v>
      </c>
      <c r="R100" t="s">
        <v>644</v>
      </c>
      <c r="Y100" t="s">
        <v>808</v>
      </c>
      <c r="Z100" t="s">
        <v>809</v>
      </c>
    </row>
    <row r="101" spans="15:26" x14ac:dyDescent="0.2">
      <c r="O101" t="s">
        <v>810</v>
      </c>
      <c r="P101" t="s">
        <v>10</v>
      </c>
      <c r="Q101" t="s">
        <v>5</v>
      </c>
      <c r="R101" t="s">
        <v>733</v>
      </c>
      <c r="Y101" t="s">
        <v>811</v>
      </c>
      <c r="Z101" t="s">
        <v>812</v>
      </c>
    </row>
    <row r="102" spans="15:26" x14ac:dyDescent="0.2">
      <c r="O102" t="s">
        <v>813</v>
      </c>
      <c r="P102" t="s">
        <v>224</v>
      </c>
      <c r="Q102" t="s">
        <v>5</v>
      </c>
      <c r="R102" t="s">
        <v>673</v>
      </c>
      <c r="Y102" t="s">
        <v>811</v>
      </c>
      <c r="Z102" t="s">
        <v>812</v>
      </c>
    </row>
    <row r="103" spans="15:26" x14ac:dyDescent="0.2">
      <c r="O103">
        <v>106585529</v>
      </c>
      <c r="P103" t="s">
        <v>487</v>
      </c>
      <c r="Q103" t="s">
        <v>5</v>
      </c>
      <c r="R103" t="s">
        <v>670</v>
      </c>
      <c r="Y103" t="s">
        <v>811</v>
      </c>
      <c r="Z103" t="s">
        <v>812</v>
      </c>
    </row>
    <row r="104" spans="15:26" x14ac:dyDescent="0.2">
      <c r="O104">
        <v>106601035</v>
      </c>
      <c r="P104" t="s">
        <v>174</v>
      </c>
      <c r="Q104" t="s">
        <v>5</v>
      </c>
      <c r="R104" t="s">
        <v>700</v>
      </c>
      <c r="Y104" t="s">
        <v>811</v>
      </c>
      <c r="Z104" t="s">
        <v>814</v>
      </c>
    </row>
    <row r="105" spans="15:26" x14ac:dyDescent="0.2">
      <c r="O105" t="s">
        <v>815</v>
      </c>
      <c r="P105" t="s">
        <v>256</v>
      </c>
      <c r="Q105" t="s">
        <v>5</v>
      </c>
      <c r="R105" t="s">
        <v>693</v>
      </c>
      <c r="Y105" t="s">
        <v>811</v>
      </c>
      <c r="Z105" t="s">
        <v>814</v>
      </c>
    </row>
    <row r="106" spans="15:26" x14ac:dyDescent="0.2">
      <c r="O106" t="s">
        <v>816</v>
      </c>
      <c r="P106" t="s">
        <v>112</v>
      </c>
      <c r="Q106" t="s">
        <v>5</v>
      </c>
      <c r="R106" t="s">
        <v>693</v>
      </c>
      <c r="Y106" t="s">
        <v>811</v>
      </c>
      <c r="Z106" t="s">
        <v>814</v>
      </c>
    </row>
    <row r="107" spans="15:26" x14ac:dyDescent="0.2">
      <c r="O107">
        <v>106610748</v>
      </c>
      <c r="P107" t="s">
        <v>551</v>
      </c>
      <c r="Q107" t="s">
        <v>5</v>
      </c>
      <c r="R107" t="s">
        <v>729</v>
      </c>
      <c r="Y107" t="s">
        <v>811</v>
      </c>
      <c r="Z107" t="s">
        <v>814</v>
      </c>
    </row>
    <row r="108" spans="15:26" x14ac:dyDescent="0.2">
      <c r="O108" t="s">
        <v>817</v>
      </c>
      <c r="P108" t="s">
        <v>12</v>
      </c>
      <c r="Q108" t="s">
        <v>5</v>
      </c>
      <c r="R108" t="s">
        <v>818</v>
      </c>
      <c r="Y108" t="s">
        <v>811</v>
      </c>
      <c r="Z108" t="s">
        <v>814</v>
      </c>
    </row>
    <row r="109" spans="15:26" x14ac:dyDescent="0.2">
      <c r="O109" t="s">
        <v>819</v>
      </c>
      <c r="P109" t="s">
        <v>40</v>
      </c>
      <c r="Q109" t="s">
        <v>5</v>
      </c>
      <c r="R109" t="s">
        <v>820</v>
      </c>
      <c r="Y109" t="s">
        <v>811</v>
      </c>
      <c r="Z109" t="s">
        <v>814</v>
      </c>
    </row>
    <row r="110" spans="15:26" x14ac:dyDescent="0.2">
      <c r="O110">
        <v>106578482</v>
      </c>
      <c r="P110" t="s">
        <v>411</v>
      </c>
      <c r="Q110" t="s">
        <v>5</v>
      </c>
      <c r="R110" t="s">
        <v>733</v>
      </c>
      <c r="Y110" t="s">
        <v>811</v>
      </c>
      <c r="Z110" t="s">
        <v>821</v>
      </c>
    </row>
    <row r="111" spans="15:26" x14ac:dyDescent="0.2">
      <c r="O111">
        <v>106605646</v>
      </c>
      <c r="P111" t="s">
        <v>240</v>
      </c>
      <c r="Q111" t="s">
        <v>5</v>
      </c>
      <c r="R111" t="s">
        <v>673</v>
      </c>
      <c r="Y111" t="s">
        <v>811</v>
      </c>
      <c r="Z111" t="s">
        <v>821</v>
      </c>
    </row>
    <row r="112" spans="15:26" x14ac:dyDescent="0.2">
      <c r="O112" t="s">
        <v>822</v>
      </c>
      <c r="P112" t="s">
        <v>178</v>
      </c>
      <c r="Q112" t="s">
        <v>5</v>
      </c>
      <c r="R112" t="s">
        <v>818</v>
      </c>
      <c r="Y112" t="s">
        <v>811</v>
      </c>
      <c r="Z112" t="s">
        <v>814</v>
      </c>
    </row>
    <row r="113" spans="15:26" x14ac:dyDescent="0.2">
      <c r="O113" t="s">
        <v>823</v>
      </c>
      <c r="P113" t="s">
        <v>84</v>
      </c>
      <c r="Q113" t="s">
        <v>5</v>
      </c>
      <c r="R113" t="s">
        <v>702</v>
      </c>
      <c r="Y113" t="s">
        <v>811</v>
      </c>
      <c r="Z113" t="s">
        <v>814</v>
      </c>
    </row>
    <row r="114" spans="15:26" x14ac:dyDescent="0.2">
      <c r="O114" t="s">
        <v>824</v>
      </c>
      <c r="P114" t="s">
        <v>30</v>
      </c>
      <c r="Q114" t="s">
        <v>5</v>
      </c>
      <c r="R114" t="s">
        <v>774</v>
      </c>
      <c r="Y114" t="s">
        <v>811</v>
      </c>
      <c r="Z114" t="s">
        <v>814</v>
      </c>
    </row>
    <row r="115" spans="15:26" x14ac:dyDescent="0.2">
      <c r="O115">
        <v>106603626</v>
      </c>
      <c r="P115" t="s">
        <v>76</v>
      </c>
      <c r="Q115" t="s">
        <v>5</v>
      </c>
      <c r="R115" t="s">
        <v>644</v>
      </c>
      <c r="Y115" t="s">
        <v>811</v>
      </c>
      <c r="Z115" t="s">
        <v>814</v>
      </c>
    </row>
    <row r="116" spans="15:26" x14ac:dyDescent="0.2">
      <c r="O116">
        <v>106574304</v>
      </c>
      <c r="P116" t="s">
        <v>300</v>
      </c>
      <c r="Q116" t="s">
        <v>5</v>
      </c>
      <c r="R116" t="s">
        <v>702</v>
      </c>
      <c r="U116" t="s">
        <v>825</v>
      </c>
      <c r="Y116" t="s">
        <v>826</v>
      </c>
      <c r="Z116" t="s">
        <v>750</v>
      </c>
    </row>
    <row r="117" spans="15:26" x14ac:dyDescent="0.2">
      <c r="O117" t="s">
        <v>827</v>
      </c>
      <c r="P117" t="s">
        <v>395</v>
      </c>
      <c r="Q117" t="s">
        <v>5</v>
      </c>
      <c r="R117" t="s">
        <v>774</v>
      </c>
      <c r="U117" t="s">
        <v>825</v>
      </c>
      <c r="Y117" t="s">
        <v>826</v>
      </c>
      <c r="Z117" t="s">
        <v>750</v>
      </c>
    </row>
    <row r="118" spans="15:26" x14ac:dyDescent="0.2">
      <c r="O118">
        <v>106582120</v>
      </c>
      <c r="P118" t="s">
        <v>126</v>
      </c>
      <c r="Q118" t="s">
        <v>5</v>
      </c>
      <c r="R118" t="s">
        <v>818</v>
      </c>
      <c r="U118" t="s">
        <v>825</v>
      </c>
      <c r="Y118" t="s">
        <v>826</v>
      </c>
      <c r="Z118" t="s">
        <v>750</v>
      </c>
    </row>
    <row r="119" spans="15:26" x14ac:dyDescent="0.2">
      <c r="O119">
        <v>106586650</v>
      </c>
      <c r="P119" t="s">
        <v>136</v>
      </c>
      <c r="Q119" t="s">
        <v>5</v>
      </c>
      <c r="R119" t="s">
        <v>820</v>
      </c>
      <c r="U119" t="s">
        <v>825</v>
      </c>
      <c r="Y119" t="s">
        <v>826</v>
      </c>
      <c r="Z119" t="s">
        <v>750</v>
      </c>
    </row>
    <row r="120" spans="15:26" x14ac:dyDescent="0.2">
      <c r="O120">
        <v>106579904</v>
      </c>
      <c r="P120" t="s">
        <v>459</v>
      </c>
      <c r="Q120" t="s">
        <v>5</v>
      </c>
      <c r="R120" t="s">
        <v>733</v>
      </c>
      <c r="Y120" t="s">
        <v>828</v>
      </c>
    </row>
    <row r="121" spans="15:26" x14ac:dyDescent="0.2">
      <c r="O121" t="s">
        <v>829</v>
      </c>
      <c r="P121" t="s">
        <v>302</v>
      </c>
      <c r="Q121" t="s">
        <v>5</v>
      </c>
      <c r="R121" t="s">
        <v>673</v>
      </c>
      <c r="Y121" t="s">
        <v>828</v>
      </c>
    </row>
    <row r="122" spans="15:26" x14ac:dyDescent="0.2">
      <c r="O122">
        <v>106607067</v>
      </c>
      <c r="P122" t="s">
        <v>383</v>
      </c>
      <c r="Q122" t="s">
        <v>5</v>
      </c>
      <c r="R122" t="s">
        <v>693</v>
      </c>
      <c r="Z122" t="s">
        <v>830</v>
      </c>
    </row>
    <row r="123" spans="15:26" x14ac:dyDescent="0.2">
      <c r="O123" t="s">
        <v>831</v>
      </c>
      <c r="P123" t="s">
        <v>146</v>
      </c>
      <c r="Q123" t="s">
        <v>5</v>
      </c>
      <c r="R123" t="s">
        <v>700</v>
      </c>
      <c r="Z123" t="s">
        <v>830</v>
      </c>
    </row>
    <row r="124" spans="15:26" x14ac:dyDescent="0.2">
      <c r="O124" t="s">
        <v>832</v>
      </c>
      <c r="P124" t="s">
        <v>52</v>
      </c>
      <c r="Q124" t="s">
        <v>5</v>
      </c>
      <c r="R124" t="s">
        <v>732</v>
      </c>
      <c r="Z124" t="s">
        <v>830</v>
      </c>
    </row>
    <row r="125" spans="15:26" x14ac:dyDescent="0.2">
      <c r="O125" t="s">
        <v>833</v>
      </c>
      <c r="P125" t="s">
        <v>56</v>
      </c>
      <c r="Q125" t="s">
        <v>5</v>
      </c>
      <c r="R125" t="s">
        <v>733</v>
      </c>
      <c r="Z125" t="s">
        <v>830</v>
      </c>
    </row>
    <row r="126" spans="15:26" x14ac:dyDescent="0.2">
      <c r="O126">
        <v>106565454</v>
      </c>
      <c r="P126" t="s">
        <v>355</v>
      </c>
      <c r="Q126" t="s">
        <v>5</v>
      </c>
      <c r="R126" t="s">
        <v>654</v>
      </c>
    </row>
    <row r="127" spans="15:26" x14ac:dyDescent="0.2">
      <c r="O127" t="s">
        <v>834</v>
      </c>
      <c r="P127" t="s">
        <v>44</v>
      </c>
      <c r="Q127" t="s">
        <v>5</v>
      </c>
      <c r="R127" t="s">
        <v>669</v>
      </c>
      <c r="U127" t="s">
        <v>835</v>
      </c>
      <c r="Z127" t="s">
        <v>836</v>
      </c>
    </row>
    <row r="128" spans="15:26" x14ac:dyDescent="0.2">
      <c r="O128" t="s">
        <v>837</v>
      </c>
      <c r="P128" t="s">
        <v>214</v>
      </c>
      <c r="Q128" t="s">
        <v>5</v>
      </c>
      <c r="R128" t="s">
        <v>639</v>
      </c>
      <c r="U128" t="s">
        <v>835</v>
      </c>
      <c r="Z128" t="s">
        <v>750</v>
      </c>
    </row>
    <row r="129" spans="15:26" x14ac:dyDescent="0.2">
      <c r="O129">
        <v>106589264</v>
      </c>
      <c r="P129" t="s">
        <v>268</v>
      </c>
      <c r="Q129" t="s">
        <v>5</v>
      </c>
      <c r="R129" t="s">
        <v>714</v>
      </c>
      <c r="U129" t="s">
        <v>835</v>
      </c>
      <c r="Z129" t="s">
        <v>750</v>
      </c>
    </row>
    <row r="130" spans="15:26" x14ac:dyDescent="0.2">
      <c r="O130">
        <v>106612416</v>
      </c>
      <c r="P130" t="s">
        <v>258</v>
      </c>
      <c r="Q130" t="s">
        <v>5</v>
      </c>
      <c r="R130" t="s">
        <v>729</v>
      </c>
    </row>
    <row r="131" spans="15:26" x14ac:dyDescent="0.2">
      <c r="O131">
        <v>106577633</v>
      </c>
      <c r="P131" t="s">
        <v>276</v>
      </c>
      <c r="Q131" t="s">
        <v>5</v>
      </c>
      <c r="R131" t="s">
        <v>652</v>
      </c>
    </row>
    <row r="132" spans="15:26" x14ac:dyDescent="0.2">
      <c r="O132">
        <v>106608778</v>
      </c>
      <c r="P132" t="s">
        <v>540</v>
      </c>
      <c r="Q132" t="s">
        <v>5</v>
      </c>
      <c r="R132" t="s">
        <v>648</v>
      </c>
    </row>
    <row r="133" spans="15:26" x14ac:dyDescent="0.2">
      <c r="O133">
        <v>106567885</v>
      </c>
      <c r="P133" t="s">
        <v>361</v>
      </c>
      <c r="Q133" t="s">
        <v>5</v>
      </c>
      <c r="R133" t="s">
        <v>734</v>
      </c>
    </row>
    <row r="134" spans="15:26" x14ac:dyDescent="0.2">
      <c r="O134">
        <v>106603593</v>
      </c>
      <c r="P134" t="s">
        <v>375</v>
      </c>
      <c r="Q134" t="s">
        <v>5</v>
      </c>
      <c r="R134" t="s">
        <v>644</v>
      </c>
    </row>
    <row r="135" spans="15:26" x14ac:dyDescent="0.2">
      <c r="O135" t="s">
        <v>838</v>
      </c>
      <c r="P135" t="s">
        <v>16</v>
      </c>
      <c r="Q135" t="s">
        <v>5</v>
      </c>
      <c r="R135" t="s">
        <v>700</v>
      </c>
      <c r="U135" t="s">
        <v>839</v>
      </c>
      <c r="V135" t="s">
        <v>840</v>
      </c>
      <c r="Y135" t="s">
        <v>841</v>
      </c>
      <c r="Z135" t="s">
        <v>842</v>
      </c>
    </row>
    <row r="136" spans="15:26" x14ac:dyDescent="0.2">
      <c r="O136" t="s">
        <v>843</v>
      </c>
      <c r="P136" t="s">
        <v>246</v>
      </c>
      <c r="Q136" t="s">
        <v>5</v>
      </c>
      <c r="R136" t="s">
        <v>702</v>
      </c>
      <c r="U136" t="s">
        <v>839</v>
      </c>
      <c r="Y136" t="s">
        <v>841</v>
      </c>
      <c r="Z136" t="s">
        <v>842</v>
      </c>
    </row>
    <row r="137" spans="15:26" x14ac:dyDescent="0.2">
      <c r="O137">
        <v>100194499</v>
      </c>
      <c r="P137" t="s">
        <v>168</v>
      </c>
      <c r="Q137" t="s">
        <v>5</v>
      </c>
      <c r="R137" t="s">
        <v>655</v>
      </c>
      <c r="U137" t="s">
        <v>839</v>
      </c>
      <c r="Y137" t="s">
        <v>841</v>
      </c>
      <c r="Z137" t="s">
        <v>842</v>
      </c>
    </row>
    <row r="138" spans="15:26" x14ac:dyDescent="0.2">
      <c r="O138">
        <v>106588078</v>
      </c>
      <c r="P138" t="s">
        <v>500</v>
      </c>
      <c r="Q138" t="s">
        <v>5</v>
      </c>
      <c r="R138" t="s">
        <v>844</v>
      </c>
    </row>
    <row r="139" spans="15:26" x14ac:dyDescent="0.2">
      <c r="O139" t="s">
        <v>845</v>
      </c>
      <c r="P139" t="s">
        <v>140</v>
      </c>
      <c r="Q139" t="s">
        <v>5</v>
      </c>
      <c r="R139" t="s">
        <v>774</v>
      </c>
      <c r="S139" t="s">
        <v>846</v>
      </c>
      <c r="Y139" t="s">
        <v>847</v>
      </c>
      <c r="Z139" t="s">
        <v>848</v>
      </c>
    </row>
    <row r="140" spans="15:26" x14ac:dyDescent="0.2">
      <c r="O140" t="s">
        <v>849</v>
      </c>
      <c r="P140" t="s">
        <v>42</v>
      </c>
      <c r="Q140" t="s">
        <v>5</v>
      </c>
      <c r="R140" t="s">
        <v>648</v>
      </c>
      <c r="Y140" t="s">
        <v>847</v>
      </c>
      <c r="Z140" t="s">
        <v>848</v>
      </c>
    </row>
    <row r="141" spans="15:26" x14ac:dyDescent="0.2">
      <c r="O141" t="s">
        <v>850</v>
      </c>
      <c r="P141" t="s">
        <v>14</v>
      </c>
      <c r="Q141" t="s">
        <v>5</v>
      </c>
      <c r="R141" t="s">
        <v>734</v>
      </c>
    </row>
    <row r="142" spans="15:26" x14ac:dyDescent="0.2">
      <c r="O142">
        <v>106572151</v>
      </c>
      <c r="P142" t="s">
        <v>549</v>
      </c>
      <c r="Q142" t="s">
        <v>5</v>
      </c>
      <c r="R142" t="s">
        <v>726</v>
      </c>
      <c r="Z142" t="s">
        <v>814</v>
      </c>
    </row>
    <row r="143" spans="15:26" x14ac:dyDescent="0.2">
      <c r="O143">
        <v>106573635</v>
      </c>
      <c r="P143" t="s">
        <v>110</v>
      </c>
      <c r="Q143" t="s">
        <v>5</v>
      </c>
      <c r="R143" t="s">
        <v>702</v>
      </c>
      <c r="Y143" t="s">
        <v>851</v>
      </c>
      <c r="Z143" t="s">
        <v>814</v>
      </c>
    </row>
    <row r="144" spans="15:26" x14ac:dyDescent="0.2">
      <c r="O144">
        <v>106581407</v>
      </c>
      <c r="P144" t="s">
        <v>309</v>
      </c>
      <c r="Q144" t="s">
        <v>5</v>
      </c>
      <c r="R144" t="s">
        <v>669</v>
      </c>
      <c r="Y144" t="s">
        <v>852</v>
      </c>
      <c r="Z144" t="s">
        <v>853</v>
      </c>
    </row>
    <row r="145" spans="15:26" x14ac:dyDescent="0.2">
      <c r="O145" t="s">
        <v>854</v>
      </c>
      <c r="P145" t="s">
        <v>512</v>
      </c>
      <c r="Q145" t="s">
        <v>5</v>
      </c>
      <c r="R145" t="s">
        <v>726</v>
      </c>
      <c r="Y145" t="s">
        <v>855</v>
      </c>
      <c r="Z145" t="s">
        <v>856</v>
      </c>
    </row>
    <row r="146" spans="15:26" x14ac:dyDescent="0.2">
      <c r="O146">
        <v>106590143</v>
      </c>
      <c r="P146" t="s">
        <v>74</v>
      </c>
      <c r="Q146" t="s">
        <v>5</v>
      </c>
      <c r="R146" t="s">
        <v>688</v>
      </c>
      <c r="U146" t="s">
        <v>857</v>
      </c>
      <c r="V146" t="s">
        <v>858</v>
      </c>
      <c r="Y146" t="s">
        <v>859</v>
      </c>
    </row>
    <row r="147" spans="15:26" x14ac:dyDescent="0.2">
      <c r="O147">
        <v>106573620</v>
      </c>
      <c r="P147" t="s">
        <v>399</v>
      </c>
      <c r="Q147" t="s">
        <v>5</v>
      </c>
      <c r="R147" t="s">
        <v>702</v>
      </c>
    </row>
    <row r="148" spans="15:26" x14ac:dyDescent="0.2">
      <c r="O148" t="s">
        <v>860</v>
      </c>
      <c r="P148" t="s">
        <v>325</v>
      </c>
      <c r="Q148" t="s">
        <v>5</v>
      </c>
      <c r="R148" t="s">
        <v>726</v>
      </c>
      <c r="U148" t="s">
        <v>861</v>
      </c>
      <c r="Y148" t="s">
        <v>862</v>
      </c>
    </row>
    <row r="149" spans="15:26" x14ac:dyDescent="0.2">
      <c r="O149" t="s">
        <v>863</v>
      </c>
      <c r="P149" t="s">
        <v>54</v>
      </c>
      <c r="Q149" t="s">
        <v>5</v>
      </c>
      <c r="R149" t="s">
        <v>726</v>
      </c>
      <c r="T149" t="s">
        <v>720</v>
      </c>
      <c r="U149" t="s">
        <v>721</v>
      </c>
      <c r="V149" t="s">
        <v>722</v>
      </c>
      <c r="Y149" t="s">
        <v>864</v>
      </c>
      <c r="Z149" t="s">
        <v>865</v>
      </c>
    </row>
    <row r="150" spans="15:26" x14ac:dyDescent="0.2">
      <c r="O150">
        <v>106592057</v>
      </c>
      <c r="P150" t="s">
        <v>520</v>
      </c>
      <c r="Q150" t="s">
        <v>5</v>
      </c>
      <c r="R150" t="s">
        <v>866</v>
      </c>
      <c r="V150" t="s">
        <v>858</v>
      </c>
      <c r="Y150" t="s">
        <v>867</v>
      </c>
    </row>
    <row r="151" spans="15:26" x14ac:dyDescent="0.2">
      <c r="O151" t="s">
        <v>868</v>
      </c>
      <c r="P151" t="s">
        <v>284</v>
      </c>
      <c r="Q151" t="s">
        <v>5</v>
      </c>
      <c r="R151" t="s">
        <v>680</v>
      </c>
      <c r="U151" t="s">
        <v>681</v>
      </c>
      <c r="Z151" t="s">
        <v>869</v>
      </c>
    </row>
    <row r="152" spans="15:26" x14ac:dyDescent="0.2">
      <c r="O152" t="s">
        <v>870</v>
      </c>
      <c r="P152" t="s">
        <v>130</v>
      </c>
      <c r="Q152" t="s">
        <v>5</v>
      </c>
      <c r="R152" t="s">
        <v>655</v>
      </c>
      <c r="U152" t="s">
        <v>681</v>
      </c>
      <c r="Y152" t="s">
        <v>682</v>
      </c>
    </row>
    <row r="153" spans="15:26" x14ac:dyDescent="0.2">
      <c r="O153" t="s">
        <v>871</v>
      </c>
      <c r="P153" t="s">
        <v>493</v>
      </c>
      <c r="Q153" t="s">
        <v>5</v>
      </c>
      <c r="R153" t="s">
        <v>699</v>
      </c>
      <c r="U153" t="s">
        <v>681</v>
      </c>
      <c r="Y153" t="s">
        <v>682</v>
      </c>
    </row>
    <row r="154" spans="15:26" x14ac:dyDescent="0.2">
      <c r="O154" t="s">
        <v>872</v>
      </c>
      <c r="P154" t="s">
        <v>202</v>
      </c>
      <c r="Q154" t="s">
        <v>5</v>
      </c>
      <c r="R154" t="s">
        <v>866</v>
      </c>
    </row>
    <row r="155" spans="15:26" x14ac:dyDescent="0.2">
      <c r="O155" t="s">
        <v>873</v>
      </c>
      <c r="P155" t="s">
        <v>371</v>
      </c>
      <c r="Q155" t="s">
        <v>5</v>
      </c>
      <c r="R155" t="s">
        <v>639</v>
      </c>
      <c r="U155" t="s">
        <v>874</v>
      </c>
      <c r="V155" t="s">
        <v>858</v>
      </c>
      <c r="W155" t="s">
        <v>875</v>
      </c>
      <c r="Y155" t="s">
        <v>876</v>
      </c>
      <c r="Z155" t="s">
        <v>877</v>
      </c>
    </row>
    <row r="156" spans="15:26" x14ac:dyDescent="0.2">
      <c r="O156">
        <v>106570052</v>
      </c>
      <c r="P156" t="s">
        <v>114</v>
      </c>
      <c r="Q156" t="s">
        <v>5</v>
      </c>
      <c r="R156" t="s">
        <v>654</v>
      </c>
      <c r="U156" t="s">
        <v>857</v>
      </c>
      <c r="V156" t="s">
        <v>858</v>
      </c>
      <c r="Y156" t="s">
        <v>859</v>
      </c>
    </row>
    <row r="157" spans="15:26" x14ac:dyDescent="0.2">
      <c r="O157" t="s">
        <v>878</v>
      </c>
      <c r="P157" t="s">
        <v>72</v>
      </c>
      <c r="Q157" t="s">
        <v>5</v>
      </c>
      <c r="R157" t="s">
        <v>729</v>
      </c>
      <c r="U157" t="s">
        <v>857</v>
      </c>
      <c r="V157" t="s">
        <v>858</v>
      </c>
      <c r="Y157" t="s">
        <v>859</v>
      </c>
    </row>
    <row r="158" spans="15:26" x14ac:dyDescent="0.2">
      <c r="O158" t="s">
        <v>879</v>
      </c>
      <c r="P158" t="s">
        <v>170</v>
      </c>
      <c r="Q158" t="s">
        <v>5</v>
      </c>
      <c r="R158" t="s">
        <v>639</v>
      </c>
      <c r="U158" t="s">
        <v>857</v>
      </c>
      <c r="V158" t="s">
        <v>858</v>
      </c>
      <c r="Y158" t="s">
        <v>859</v>
      </c>
    </row>
    <row r="159" spans="15:26" x14ac:dyDescent="0.2">
      <c r="O159">
        <v>106583597</v>
      </c>
      <c r="P159" t="s">
        <v>160</v>
      </c>
      <c r="Q159" t="s">
        <v>5</v>
      </c>
      <c r="R159" t="s">
        <v>675</v>
      </c>
      <c r="U159" t="s">
        <v>857</v>
      </c>
      <c r="V159" t="s">
        <v>858</v>
      </c>
      <c r="Y159" t="s">
        <v>859</v>
      </c>
    </row>
    <row r="160" spans="15:26" x14ac:dyDescent="0.2">
      <c r="O160" t="s">
        <v>880</v>
      </c>
      <c r="P160" t="s">
        <v>510</v>
      </c>
      <c r="Q160" t="s">
        <v>5</v>
      </c>
      <c r="R160" t="s">
        <v>654</v>
      </c>
      <c r="U160" t="s">
        <v>874</v>
      </c>
      <c r="V160" t="s">
        <v>858</v>
      </c>
      <c r="W160" t="s">
        <v>875</v>
      </c>
      <c r="Y160" t="s">
        <v>876</v>
      </c>
      <c r="Z160" t="s">
        <v>877</v>
      </c>
    </row>
    <row r="161" spans="15:26" x14ac:dyDescent="0.2">
      <c r="O161" t="s">
        <v>881</v>
      </c>
      <c r="P161" t="s">
        <v>138</v>
      </c>
      <c r="Q161" t="s">
        <v>5</v>
      </c>
      <c r="R161" t="s">
        <v>652</v>
      </c>
      <c r="U161" t="s">
        <v>874</v>
      </c>
      <c r="V161" t="s">
        <v>858</v>
      </c>
      <c r="W161" t="s">
        <v>875</v>
      </c>
      <c r="Y161" t="s">
        <v>876</v>
      </c>
      <c r="Z161" t="s">
        <v>877</v>
      </c>
    </row>
    <row r="162" spans="15:26" x14ac:dyDescent="0.2">
      <c r="O162">
        <v>106589390</v>
      </c>
      <c r="P162" t="s">
        <v>282</v>
      </c>
      <c r="Q162" t="s">
        <v>5</v>
      </c>
      <c r="R162" t="s">
        <v>714</v>
      </c>
      <c r="U162" t="s">
        <v>874</v>
      </c>
      <c r="V162" t="s">
        <v>858</v>
      </c>
      <c r="W162" t="s">
        <v>875</v>
      </c>
      <c r="Y162" t="s">
        <v>876</v>
      </c>
      <c r="Z162" t="s">
        <v>877</v>
      </c>
    </row>
    <row r="163" spans="15:26" x14ac:dyDescent="0.2">
      <c r="O163">
        <v>106563018</v>
      </c>
      <c r="P163" t="s">
        <v>439</v>
      </c>
      <c r="Q163" t="s">
        <v>5</v>
      </c>
      <c r="R163" t="s">
        <v>650</v>
      </c>
      <c r="Y163" t="s">
        <v>882</v>
      </c>
    </row>
    <row r="164" spans="15:26" x14ac:dyDescent="0.2">
      <c r="O164" t="s">
        <v>883</v>
      </c>
      <c r="P164" t="s">
        <v>365</v>
      </c>
      <c r="Q164" t="s">
        <v>5</v>
      </c>
      <c r="R164" t="s">
        <v>844</v>
      </c>
      <c r="Y164" t="s">
        <v>882</v>
      </c>
    </row>
    <row r="165" spans="15:26" x14ac:dyDescent="0.2">
      <c r="O165" t="s">
        <v>884</v>
      </c>
      <c r="P165" t="s">
        <v>116</v>
      </c>
      <c r="Q165" t="s">
        <v>5</v>
      </c>
      <c r="R165" t="s">
        <v>699</v>
      </c>
      <c r="Y165" t="s">
        <v>882</v>
      </c>
    </row>
    <row r="166" spans="15:26" x14ac:dyDescent="0.2">
      <c r="O166">
        <v>106599005</v>
      </c>
      <c r="P166" t="s">
        <v>298</v>
      </c>
      <c r="Q166" t="s">
        <v>5</v>
      </c>
      <c r="R166" t="s">
        <v>700</v>
      </c>
      <c r="Y166" t="s">
        <v>882</v>
      </c>
    </row>
    <row r="167" spans="15:26" x14ac:dyDescent="0.2">
      <c r="O167">
        <v>106584012</v>
      </c>
      <c r="P167" t="s">
        <v>389</v>
      </c>
      <c r="Q167" t="s">
        <v>5</v>
      </c>
      <c r="R167" t="s">
        <v>680</v>
      </c>
      <c r="Y167" t="s">
        <v>882</v>
      </c>
    </row>
    <row r="168" spans="15:26" x14ac:dyDescent="0.2">
      <c r="O168" t="s">
        <v>885</v>
      </c>
      <c r="P168" t="s">
        <v>78</v>
      </c>
      <c r="Q168" t="s">
        <v>5</v>
      </c>
      <c r="R168" t="s">
        <v>700</v>
      </c>
      <c r="Y168" t="s">
        <v>882</v>
      </c>
    </row>
    <row r="169" spans="15:26" x14ac:dyDescent="0.2">
      <c r="O169" t="s">
        <v>886</v>
      </c>
      <c r="P169" t="s">
        <v>20</v>
      </c>
      <c r="Q169" t="s">
        <v>5</v>
      </c>
      <c r="R169" t="s">
        <v>699</v>
      </c>
      <c r="Y169" t="s">
        <v>882</v>
      </c>
    </row>
    <row r="170" spans="15:26" x14ac:dyDescent="0.2">
      <c r="O170">
        <v>106573900</v>
      </c>
      <c r="P170" t="s">
        <v>417</v>
      </c>
      <c r="Q170" t="s">
        <v>5</v>
      </c>
      <c r="R170" t="s">
        <v>702</v>
      </c>
      <c r="Y170" t="s">
        <v>882</v>
      </c>
    </row>
    <row r="171" spans="15:26" x14ac:dyDescent="0.2">
      <c r="O171" t="s">
        <v>887</v>
      </c>
      <c r="P171" t="s">
        <v>124</v>
      </c>
      <c r="Q171" t="s">
        <v>5</v>
      </c>
      <c r="R171" t="s">
        <v>655</v>
      </c>
      <c r="Y171" t="s">
        <v>882</v>
      </c>
    </row>
    <row r="172" spans="15:26" x14ac:dyDescent="0.2">
      <c r="O172">
        <v>106568747</v>
      </c>
      <c r="P172" t="s">
        <v>254</v>
      </c>
      <c r="Q172" t="s">
        <v>5</v>
      </c>
      <c r="R172" t="s">
        <v>699</v>
      </c>
      <c r="U172" t="s">
        <v>888</v>
      </c>
      <c r="X172" t="s">
        <v>889</v>
      </c>
      <c r="Y172" t="s">
        <v>890</v>
      </c>
    </row>
    <row r="173" spans="15:26" x14ac:dyDescent="0.2">
      <c r="O173" t="s">
        <v>891</v>
      </c>
      <c r="P173" t="s">
        <v>321</v>
      </c>
      <c r="Q173" t="s">
        <v>5</v>
      </c>
      <c r="R173" t="s">
        <v>700</v>
      </c>
      <c r="U173" t="s">
        <v>888</v>
      </c>
      <c r="X173" t="s">
        <v>889</v>
      </c>
      <c r="Y173" t="s">
        <v>890</v>
      </c>
    </row>
    <row r="174" spans="15:26" x14ac:dyDescent="0.2">
      <c r="O174" t="s">
        <v>892</v>
      </c>
      <c r="P174" t="s">
        <v>559</v>
      </c>
      <c r="Q174" t="s">
        <v>5</v>
      </c>
      <c r="R174" t="s">
        <v>655</v>
      </c>
      <c r="U174" t="s">
        <v>888</v>
      </c>
      <c r="X174" t="s">
        <v>889</v>
      </c>
      <c r="Y174" t="s">
        <v>890</v>
      </c>
    </row>
    <row r="175" spans="15:26" x14ac:dyDescent="0.2">
      <c r="O175" t="s">
        <v>893</v>
      </c>
      <c r="P175" t="s">
        <v>542</v>
      </c>
      <c r="Q175" t="s">
        <v>5</v>
      </c>
      <c r="R175" t="s">
        <v>726</v>
      </c>
      <c r="U175" t="s">
        <v>888</v>
      </c>
      <c r="X175" t="s">
        <v>889</v>
      </c>
      <c r="Y175" t="s">
        <v>890</v>
      </c>
    </row>
    <row r="176" spans="15:26" x14ac:dyDescent="0.2">
      <c r="O176">
        <v>106567700</v>
      </c>
      <c r="P176" t="s">
        <v>469</v>
      </c>
      <c r="Q176" t="s">
        <v>5</v>
      </c>
      <c r="R176" t="s">
        <v>654</v>
      </c>
      <c r="Y176" t="s">
        <v>882</v>
      </c>
    </row>
    <row r="177" spans="15:26" x14ac:dyDescent="0.2">
      <c r="O177" t="s">
        <v>894</v>
      </c>
      <c r="P177" t="s">
        <v>180</v>
      </c>
      <c r="Q177" t="s">
        <v>5</v>
      </c>
      <c r="R177" t="s">
        <v>702</v>
      </c>
      <c r="Y177" t="s">
        <v>895</v>
      </c>
    </row>
    <row r="178" spans="15:26" x14ac:dyDescent="0.2">
      <c r="O178">
        <v>100286559</v>
      </c>
      <c r="P178" t="s">
        <v>216</v>
      </c>
      <c r="Q178" t="s">
        <v>5</v>
      </c>
      <c r="R178" t="s">
        <v>774</v>
      </c>
      <c r="Y178" t="s">
        <v>895</v>
      </c>
    </row>
    <row r="179" spans="15:26" x14ac:dyDescent="0.2">
      <c r="O179" t="s">
        <v>896</v>
      </c>
      <c r="P179" t="s">
        <v>226</v>
      </c>
      <c r="Q179" t="s">
        <v>5</v>
      </c>
      <c r="R179" t="s">
        <v>774</v>
      </c>
      <c r="Y179" t="s">
        <v>895</v>
      </c>
    </row>
    <row r="180" spans="15:26" x14ac:dyDescent="0.2">
      <c r="O180">
        <v>106572675</v>
      </c>
      <c r="P180" t="s">
        <v>557</v>
      </c>
      <c r="Q180" t="s">
        <v>5</v>
      </c>
      <c r="R180" t="s">
        <v>726</v>
      </c>
      <c r="W180" t="s">
        <v>897</v>
      </c>
      <c r="Y180" t="s">
        <v>898</v>
      </c>
      <c r="Z180" t="s">
        <v>899</v>
      </c>
    </row>
    <row r="181" spans="15:26" x14ac:dyDescent="0.2">
      <c r="O181" t="s">
        <v>900</v>
      </c>
      <c r="P181" t="s">
        <v>182</v>
      </c>
      <c r="Q181" t="s">
        <v>5</v>
      </c>
      <c r="R181" t="s">
        <v>734</v>
      </c>
      <c r="W181" t="s">
        <v>897</v>
      </c>
      <c r="Y181" t="s">
        <v>898</v>
      </c>
      <c r="Z181" t="s">
        <v>899</v>
      </c>
    </row>
    <row r="182" spans="15:26" x14ac:dyDescent="0.2">
      <c r="O182" t="s">
        <v>901</v>
      </c>
      <c r="P182" t="s">
        <v>236</v>
      </c>
      <c r="Q182" t="s">
        <v>5</v>
      </c>
      <c r="R182" t="s">
        <v>644</v>
      </c>
      <c r="W182" t="s">
        <v>897</v>
      </c>
      <c r="Y182" t="s">
        <v>898</v>
      </c>
      <c r="Z182" t="s">
        <v>899</v>
      </c>
    </row>
    <row r="183" spans="15:26" x14ac:dyDescent="0.2">
      <c r="O183" t="s">
        <v>902</v>
      </c>
      <c r="P183" t="s">
        <v>166</v>
      </c>
      <c r="Q183" t="s">
        <v>5</v>
      </c>
      <c r="R183" t="s">
        <v>644</v>
      </c>
      <c r="W183" t="s">
        <v>897</v>
      </c>
      <c r="Y183" t="s">
        <v>898</v>
      </c>
      <c r="Z183" t="s">
        <v>899</v>
      </c>
    </row>
    <row r="184" spans="15:26" x14ac:dyDescent="0.2">
      <c r="O184">
        <v>106569341</v>
      </c>
      <c r="P184" t="s">
        <v>565</v>
      </c>
      <c r="Q184" t="s">
        <v>5</v>
      </c>
      <c r="R184" t="s">
        <v>699</v>
      </c>
      <c r="W184" t="s">
        <v>897</v>
      </c>
      <c r="Y184" t="s">
        <v>898</v>
      </c>
      <c r="Z184" t="s">
        <v>899</v>
      </c>
    </row>
    <row r="185" spans="15:26" x14ac:dyDescent="0.2">
      <c r="O185">
        <v>106599872</v>
      </c>
      <c r="P185" t="s">
        <v>443</v>
      </c>
      <c r="Q185" t="s">
        <v>5</v>
      </c>
      <c r="R185" t="s">
        <v>700</v>
      </c>
      <c r="W185" t="s">
        <v>897</v>
      </c>
      <c r="Y185" t="s">
        <v>898</v>
      </c>
      <c r="Z185" t="s">
        <v>899</v>
      </c>
    </row>
    <row r="186" spans="15:26" x14ac:dyDescent="0.2">
      <c r="O186">
        <v>106581837</v>
      </c>
      <c r="P186" t="s">
        <v>569</v>
      </c>
      <c r="Q186" t="s">
        <v>5</v>
      </c>
      <c r="R186" t="s">
        <v>818</v>
      </c>
      <c r="W186" t="s">
        <v>897</v>
      </c>
      <c r="Y186" t="s">
        <v>898</v>
      </c>
      <c r="Z186" t="s">
        <v>899</v>
      </c>
    </row>
    <row r="187" spans="15:26" x14ac:dyDescent="0.2">
      <c r="O187">
        <v>106586152</v>
      </c>
      <c r="P187" t="s">
        <v>62</v>
      </c>
      <c r="Q187" t="s">
        <v>5</v>
      </c>
      <c r="R187" t="s">
        <v>820</v>
      </c>
      <c r="W187" t="s">
        <v>897</v>
      </c>
      <c r="Y187" t="s">
        <v>898</v>
      </c>
      <c r="Z187" t="s">
        <v>899</v>
      </c>
    </row>
    <row r="188" spans="15:26" x14ac:dyDescent="0.2">
      <c r="O188">
        <v>106571899</v>
      </c>
      <c r="P188" t="s">
        <v>555</v>
      </c>
      <c r="Q188" t="s">
        <v>5</v>
      </c>
      <c r="R188" t="s">
        <v>726</v>
      </c>
      <c r="W188" t="s">
        <v>897</v>
      </c>
      <c r="Y188" t="s">
        <v>898</v>
      </c>
      <c r="Z188" t="s">
        <v>899</v>
      </c>
    </row>
    <row r="189" spans="15:26" x14ac:dyDescent="0.2">
      <c r="O189" t="s">
        <v>903</v>
      </c>
      <c r="P189" t="s">
        <v>22</v>
      </c>
      <c r="Q189" t="s">
        <v>5</v>
      </c>
      <c r="R189" t="s">
        <v>680</v>
      </c>
      <c r="W189" t="s">
        <v>897</v>
      </c>
      <c r="Y189" t="s">
        <v>898</v>
      </c>
      <c r="Z189" t="s">
        <v>899</v>
      </c>
    </row>
    <row r="190" spans="15:26" x14ac:dyDescent="0.2">
      <c r="O190">
        <v>106608511</v>
      </c>
      <c r="P190" t="s">
        <v>606</v>
      </c>
      <c r="Q190" t="s">
        <v>5</v>
      </c>
      <c r="R190" t="s">
        <v>654</v>
      </c>
      <c r="W190" t="s">
        <v>897</v>
      </c>
      <c r="Y190" t="s">
        <v>898</v>
      </c>
      <c r="Z190" t="s">
        <v>899</v>
      </c>
    </row>
    <row r="191" spans="15:26" x14ac:dyDescent="0.2">
      <c r="O191" t="s">
        <v>904</v>
      </c>
      <c r="P191" t="s">
        <v>579</v>
      </c>
      <c r="Q191" t="s">
        <v>5</v>
      </c>
      <c r="R191" t="s">
        <v>652</v>
      </c>
      <c r="W191" t="s">
        <v>897</v>
      </c>
      <c r="Y191" t="s">
        <v>898</v>
      </c>
      <c r="Z191" t="s">
        <v>899</v>
      </c>
    </row>
    <row r="192" spans="15:26" x14ac:dyDescent="0.2">
      <c r="O192">
        <v>106599874</v>
      </c>
      <c r="P192" t="s">
        <v>288</v>
      </c>
      <c r="Q192" t="s">
        <v>5</v>
      </c>
      <c r="R192" t="s">
        <v>700</v>
      </c>
      <c r="W192" t="s">
        <v>897</v>
      </c>
      <c r="Y192" t="s">
        <v>898</v>
      </c>
      <c r="Z192" t="s">
        <v>899</v>
      </c>
    </row>
    <row r="193" spans="15:26" x14ac:dyDescent="0.2">
      <c r="O193">
        <v>106607324</v>
      </c>
      <c r="P193" t="s">
        <v>590</v>
      </c>
      <c r="Q193" t="s">
        <v>5</v>
      </c>
      <c r="R193" t="s">
        <v>693</v>
      </c>
      <c r="W193" t="s">
        <v>897</v>
      </c>
      <c r="Y193" t="s">
        <v>898</v>
      </c>
      <c r="Z193" t="s">
        <v>899</v>
      </c>
    </row>
    <row r="194" spans="15:26" x14ac:dyDescent="0.2">
      <c r="O194" t="s">
        <v>905</v>
      </c>
      <c r="P194" t="s">
        <v>335</v>
      </c>
      <c r="Q194" t="s">
        <v>5</v>
      </c>
      <c r="R194" t="s">
        <v>733</v>
      </c>
    </row>
    <row r="195" spans="15:26" x14ac:dyDescent="0.2">
      <c r="O195">
        <v>106562970</v>
      </c>
      <c r="P195" t="s">
        <v>495</v>
      </c>
      <c r="Q195" t="s">
        <v>5</v>
      </c>
      <c r="R195" t="s">
        <v>650</v>
      </c>
      <c r="U195" t="s">
        <v>656</v>
      </c>
      <c r="Y195" t="s">
        <v>657</v>
      </c>
    </row>
    <row r="196" spans="15:26" x14ac:dyDescent="0.2">
      <c r="O196" t="s">
        <v>906</v>
      </c>
      <c r="P196" t="s">
        <v>100</v>
      </c>
      <c r="Q196" t="s">
        <v>5</v>
      </c>
      <c r="R196" t="s">
        <v>680</v>
      </c>
      <c r="U196" t="s">
        <v>656</v>
      </c>
      <c r="Y196" t="s">
        <v>657</v>
      </c>
    </row>
    <row r="197" spans="15:26" x14ac:dyDescent="0.2">
      <c r="O197">
        <v>106589299</v>
      </c>
      <c r="P197" t="s">
        <v>581</v>
      </c>
      <c r="Q197" t="s">
        <v>5</v>
      </c>
      <c r="R197" t="s">
        <v>714</v>
      </c>
      <c r="W197" t="s">
        <v>897</v>
      </c>
      <c r="Y197" t="s">
        <v>898</v>
      </c>
      <c r="Z197" t="s">
        <v>899</v>
      </c>
    </row>
    <row r="198" spans="15:26" x14ac:dyDescent="0.2">
      <c r="O198">
        <v>106613227</v>
      </c>
      <c r="P198" t="s">
        <v>538</v>
      </c>
      <c r="Q198" t="s">
        <v>5</v>
      </c>
      <c r="R198" t="s">
        <v>729</v>
      </c>
      <c r="Y198" t="s">
        <v>852</v>
      </c>
      <c r="Z198" t="s">
        <v>853</v>
      </c>
    </row>
    <row r="199" spans="15:26" x14ac:dyDescent="0.2">
      <c r="O199" t="s">
        <v>907</v>
      </c>
      <c r="P199" t="s">
        <v>132</v>
      </c>
      <c r="Q199" t="s">
        <v>5</v>
      </c>
      <c r="R199" t="s">
        <v>654</v>
      </c>
      <c r="Y199" t="s">
        <v>908</v>
      </c>
    </row>
    <row r="200" spans="15:26" x14ac:dyDescent="0.2">
      <c r="O200">
        <v>106568168</v>
      </c>
      <c r="P200" t="s">
        <v>435</v>
      </c>
      <c r="Q200" t="s">
        <v>5</v>
      </c>
      <c r="R200" t="s">
        <v>734</v>
      </c>
      <c r="Y200" t="s">
        <v>908</v>
      </c>
    </row>
    <row r="201" spans="15:26" x14ac:dyDescent="0.2">
      <c r="O201" t="s">
        <v>909</v>
      </c>
      <c r="P201" t="s">
        <v>561</v>
      </c>
      <c r="Q201" t="s">
        <v>5</v>
      </c>
      <c r="R201" t="s">
        <v>669</v>
      </c>
      <c r="Y201" t="s">
        <v>908</v>
      </c>
    </row>
    <row r="202" spans="15:26" x14ac:dyDescent="0.2">
      <c r="O202" t="s">
        <v>910</v>
      </c>
      <c r="P202" t="s">
        <v>134</v>
      </c>
      <c r="Q202" t="s">
        <v>5</v>
      </c>
      <c r="R202" t="s">
        <v>670</v>
      </c>
      <c r="Y202" t="s">
        <v>908</v>
      </c>
    </row>
    <row r="203" spans="15:26" x14ac:dyDescent="0.2">
      <c r="O203">
        <v>100195178</v>
      </c>
      <c r="P203" t="s">
        <v>451</v>
      </c>
      <c r="Q203" t="s">
        <v>5</v>
      </c>
      <c r="R203" t="s">
        <v>732</v>
      </c>
    </row>
    <row r="204" spans="15:26" x14ac:dyDescent="0.2">
      <c r="O204" t="s">
        <v>911</v>
      </c>
      <c r="P204" t="s">
        <v>286</v>
      </c>
      <c r="Q204" t="s">
        <v>5</v>
      </c>
      <c r="R204" t="s">
        <v>726</v>
      </c>
      <c r="Y204" t="s">
        <v>912</v>
      </c>
      <c r="Z204" t="s">
        <v>913</v>
      </c>
    </row>
    <row r="205" spans="15:26" x14ac:dyDescent="0.2">
      <c r="O205" t="s">
        <v>914</v>
      </c>
      <c r="P205" t="s">
        <v>248</v>
      </c>
      <c r="Q205" t="s">
        <v>5</v>
      </c>
      <c r="R205" t="s">
        <v>699</v>
      </c>
      <c r="U205" t="s">
        <v>915</v>
      </c>
      <c r="W205" t="s">
        <v>740</v>
      </c>
      <c r="Y205" t="s">
        <v>741</v>
      </c>
      <c r="Z205" t="s">
        <v>742</v>
      </c>
    </row>
    <row r="206" spans="15:26" x14ac:dyDescent="0.2">
      <c r="O206">
        <v>106564921</v>
      </c>
      <c r="P206" t="s">
        <v>524</v>
      </c>
      <c r="Q206" t="s">
        <v>5</v>
      </c>
      <c r="R206" t="s">
        <v>732</v>
      </c>
      <c r="Y206" t="s">
        <v>916</v>
      </c>
    </row>
    <row r="207" spans="15:26" x14ac:dyDescent="0.2">
      <c r="O207" t="s">
        <v>917</v>
      </c>
      <c r="P207" t="s">
        <v>441</v>
      </c>
      <c r="Q207" t="s">
        <v>5</v>
      </c>
      <c r="R207" t="s">
        <v>733</v>
      </c>
      <c r="Y207" t="s">
        <v>916</v>
      </c>
    </row>
    <row r="208" spans="15:26" x14ac:dyDescent="0.2">
      <c r="O208">
        <v>106592002</v>
      </c>
      <c r="P208" t="s">
        <v>353</v>
      </c>
      <c r="Q208" t="s">
        <v>5</v>
      </c>
      <c r="R208" t="s">
        <v>726</v>
      </c>
    </row>
    <row r="209" spans="15:26" x14ac:dyDescent="0.2">
      <c r="O209" t="s">
        <v>918</v>
      </c>
      <c r="P209" t="s">
        <v>461</v>
      </c>
      <c r="Q209" t="s">
        <v>5</v>
      </c>
      <c r="R209" t="s">
        <v>734</v>
      </c>
      <c r="Y209" t="s">
        <v>912</v>
      </c>
      <c r="Z209" t="s">
        <v>913</v>
      </c>
    </row>
    <row r="210" spans="15:26" x14ac:dyDescent="0.2">
      <c r="O210" t="s">
        <v>919</v>
      </c>
      <c r="P210" t="s">
        <v>421</v>
      </c>
      <c r="Q210" t="s">
        <v>5</v>
      </c>
      <c r="R210" t="s">
        <v>734</v>
      </c>
      <c r="Y210" t="s">
        <v>912</v>
      </c>
      <c r="Z210" t="s">
        <v>913</v>
      </c>
    </row>
    <row r="211" spans="15:26" x14ac:dyDescent="0.2">
      <c r="O211" t="s">
        <v>920</v>
      </c>
      <c r="P211" t="s">
        <v>577</v>
      </c>
      <c r="Q211" t="s">
        <v>5</v>
      </c>
      <c r="R211" t="s">
        <v>726</v>
      </c>
      <c r="Y211" t="s">
        <v>912</v>
      </c>
      <c r="Z211" t="s">
        <v>913</v>
      </c>
    </row>
    <row r="212" spans="15:26" x14ac:dyDescent="0.2">
      <c r="O212">
        <v>106582735</v>
      </c>
      <c r="P212" t="s">
        <v>502</v>
      </c>
      <c r="Q212" t="s">
        <v>5</v>
      </c>
      <c r="R212" t="s">
        <v>675</v>
      </c>
      <c r="Y212" t="s">
        <v>912</v>
      </c>
      <c r="Z212" t="s">
        <v>913</v>
      </c>
    </row>
    <row r="213" spans="15:26" x14ac:dyDescent="0.2">
      <c r="O213" t="s">
        <v>921</v>
      </c>
      <c r="P213" t="s">
        <v>90</v>
      </c>
      <c r="Q213" t="s">
        <v>5</v>
      </c>
      <c r="R213" t="s">
        <v>654</v>
      </c>
      <c r="U213" t="s">
        <v>922</v>
      </c>
      <c r="V213" t="s">
        <v>923</v>
      </c>
      <c r="Y213" t="s">
        <v>924</v>
      </c>
    </row>
    <row r="214" spans="15:26" x14ac:dyDescent="0.2">
      <c r="O214">
        <v>106610660</v>
      </c>
      <c r="P214" t="s">
        <v>363</v>
      </c>
      <c r="Q214" t="s">
        <v>5</v>
      </c>
      <c r="R214" t="s">
        <v>729</v>
      </c>
      <c r="U214" t="s">
        <v>922</v>
      </c>
      <c r="V214" t="s">
        <v>923</v>
      </c>
      <c r="Y214" t="s">
        <v>924</v>
      </c>
    </row>
    <row r="215" spans="15:26" x14ac:dyDescent="0.2">
      <c r="O215" t="s">
        <v>925</v>
      </c>
      <c r="P215" t="s">
        <v>506</v>
      </c>
      <c r="Q215" t="s">
        <v>5</v>
      </c>
      <c r="R215" t="s">
        <v>714</v>
      </c>
      <c r="U215" t="s">
        <v>926</v>
      </c>
      <c r="V215" t="s">
        <v>927</v>
      </c>
      <c r="Y215" t="s">
        <v>928</v>
      </c>
    </row>
    <row r="216" spans="15:26" x14ac:dyDescent="0.2">
      <c r="O216" t="s">
        <v>929</v>
      </c>
      <c r="P216" t="s">
        <v>479</v>
      </c>
      <c r="Q216" t="s">
        <v>5</v>
      </c>
      <c r="R216" t="s">
        <v>654</v>
      </c>
      <c r="U216" t="s">
        <v>922</v>
      </c>
      <c r="V216" t="s">
        <v>923</v>
      </c>
      <c r="Y216" t="s">
        <v>924</v>
      </c>
    </row>
    <row r="217" spans="15:26" x14ac:dyDescent="0.2">
      <c r="O217">
        <v>106563584</v>
      </c>
      <c r="P217" t="s">
        <v>296</v>
      </c>
      <c r="Q217" t="s">
        <v>5</v>
      </c>
      <c r="R217" t="s">
        <v>650</v>
      </c>
      <c r="U217" t="s">
        <v>926</v>
      </c>
      <c r="V217" t="s">
        <v>927</v>
      </c>
      <c r="Y217" t="s">
        <v>928</v>
      </c>
    </row>
    <row r="218" spans="15:26" x14ac:dyDescent="0.2">
      <c r="O218">
        <v>106613000</v>
      </c>
      <c r="P218" t="s">
        <v>188</v>
      </c>
      <c r="Q218" t="s">
        <v>5</v>
      </c>
      <c r="R218" t="s">
        <v>729</v>
      </c>
      <c r="U218" t="s">
        <v>930</v>
      </c>
      <c r="Y218" t="s">
        <v>931</v>
      </c>
      <c r="Z218" t="s">
        <v>932</v>
      </c>
    </row>
    <row r="219" spans="15:26" x14ac:dyDescent="0.2">
      <c r="O219">
        <v>106603521</v>
      </c>
      <c r="P219" t="s">
        <v>176</v>
      </c>
      <c r="Q219" t="s">
        <v>5</v>
      </c>
      <c r="R219" t="s">
        <v>644</v>
      </c>
      <c r="U219" t="s">
        <v>930</v>
      </c>
      <c r="Y219" t="s">
        <v>931</v>
      </c>
      <c r="Z219" t="s">
        <v>932</v>
      </c>
    </row>
    <row r="220" spans="15:26" x14ac:dyDescent="0.2">
      <c r="O220" t="s">
        <v>933</v>
      </c>
      <c r="P220" t="s">
        <v>357</v>
      </c>
      <c r="Q220" t="s">
        <v>5</v>
      </c>
      <c r="R220" t="s">
        <v>644</v>
      </c>
      <c r="U220" t="s">
        <v>934</v>
      </c>
      <c r="Y220" t="s">
        <v>935</v>
      </c>
    </row>
    <row r="221" spans="15:26" x14ac:dyDescent="0.2">
      <c r="O221" t="s">
        <v>936</v>
      </c>
      <c r="P221" t="s">
        <v>349</v>
      </c>
      <c r="Q221" t="s">
        <v>5</v>
      </c>
      <c r="R221" t="s">
        <v>647</v>
      </c>
      <c r="U221" t="s">
        <v>934</v>
      </c>
      <c r="Y221" t="s">
        <v>935</v>
      </c>
    </row>
    <row r="222" spans="15:26" x14ac:dyDescent="0.2">
      <c r="O222" t="s">
        <v>937</v>
      </c>
      <c r="P222" t="s">
        <v>106</v>
      </c>
      <c r="Q222" t="s">
        <v>5</v>
      </c>
      <c r="R222" t="s">
        <v>726</v>
      </c>
      <c r="Y222" t="s">
        <v>796</v>
      </c>
    </row>
    <row r="223" spans="15:26" x14ac:dyDescent="0.2">
      <c r="O223">
        <v>106577635</v>
      </c>
      <c r="P223" t="s">
        <v>186</v>
      </c>
      <c r="Q223" t="s">
        <v>5</v>
      </c>
      <c r="R223" t="s">
        <v>652</v>
      </c>
      <c r="Y223" t="s">
        <v>796</v>
      </c>
    </row>
    <row r="224" spans="15:26" x14ac:dyDescent="0.2">
      <c r="O224" t="s">
        <v>938</v>
      </c>
      <c r="P224" t="s">
        <v>220</v>
      </c>
      <c r="Q224" t="s">
        <v>5</v>
      </c>
      <c r="R224" t="s">
        <v>644</v>
      </c>
      <c r="Y224" t="s">
        <v>796</v>
      </c>
    </row>
    <row r="225" spans="15:26" x14ac:dyDescent="0.2">
      <c r="O225">
        <v>106568930</v>
      </c>
      <c r="P225" t="s">
        <v>262</v>
      </c>
      <c r="Q225" t="s">
        <v>5</v>
      </c>
      <c r="R225" t="s">
        <v>699</v>
      </c>
      <c r="Y225" t="s">
        <v>796</v>
      </c>
    </row>
    <row r="226" spans="15:26" x14ac:dyDescent="0.2">
      <c r="O226" t="s">
        <v>939</v>
      </c>
      <c r="P226" t="s">
        <v>36</v>
      </c>
      <c r="Q226" t="s">
        <v>5</v>
      </c>
      <c r="R226" t="s">
        <v>700</v>
      </c>
    </row>
    <row r="227" spans="15:26" x14ac:dyDescent="0.2">
      <c r="O227" t="s">
        <v>940</v>
      </c>
      <c r="P227" t="s">
        <v>244</v>
      </c>
      <c r="Q227" t="s">
        <v>5</v>
      </c>
      <c r="R227" t="s">
        <v>699</v>
      </c>
      <c r="U227" t="s">
        <v>640</v>
      </c>
      <c r="V227" t="s">
        <v>941</v>
      </c>
      <c r="Y227" t="s">
        <v>942</v>
      </c>
      <c r="Z227" t="s">
        <v>750</v>
      </c>
    </row>
    <row r="228" spans="15:26" x14ac:dyDescent="0.2">
      <c r="O228" t="s">
        <v>943</v>
      </c>
      <c r="P228" t="s">
        <v>46</v>
      </c>
      <c r="Q228" t="s">
        <v>5</v>
      </c>
      <c r="R228" t="s">
        <v>700</v>
      </c>
      <c r="U228" t="s">
        <v>640</v>
      </c>
      <c r="V228" t="s">
        <v>941</v>
      </c>
      <c r="Y228" t="s">
        <v>942</v>
      </c>
      <c r="Z228" t="s">
        <v>750</v>
      </c>
    </row>
    <row r="229" spans="15:26" x14ac:dyDescent="0.2">
      <c r="O229" t="s">
        <v>944</v>
      </c>
      <c r="P229" t="s">
        <v>449</v>
      </c>
      <c r="Q229" t="s">
        <v>5</v>
      </c>
      <c r="R229" t="s">
        <v>702</v>
      </c>
      <c r="U229" t="s">
        <v>640</v>
      </c>
      <c r="V229" t="s">
        <v>941</v>
      </c>
      <c r="Y229" t="s">
        <v>945</v>
      </c>
      <c r="Z229" t="s">
        <v>750</v>
      </c>
    </row>
    <row r="230" spans="15:26" x14ac:dyDescent="0.2">
      <c r="O230">
        <v>106570356</v>
      </c>
      <c r="P230" t="s">
        <v>200</v>
      </c>
      <c r="Q230" t="s">
        <v>5</v>
      </c>
      <c r="R230" t="s">
        <v>699</v>
      </c>
      <c r="Y230" t="s">
        <v>946</v>
      </c>
    </row>
    <row r="231" spans="15:26" x14ac:dyDescent="0.2">
      <c r="O231" t="s">
        <v>947</v>
      </c>
      <c r="P231" t="s">
        <v>274</v>
      </c>
      <c r="Q231" t="s">
        <v>5</v>
      </c>
      <c r="R231" t="s">
        <v>726</v>
      </c>
      <c r="Y231" t="s">
        <v>948</v>
      </c>
    </row>
    <row r="232" spans="15:26" x14ac:dyDescent="0.2">
      <c r="O232">
        <v>106563157</v>
      </c>
      <c r="P232" t="s">
        <v>228</v>
      </c>
      <c r="Q232" t="s">
        <v>5</v>
      </c>
      <c r="R232" t="s">
        <v>650</v>
      </c>
    </row>
    <row r="233" spans="15:26" x14ac:dyDescent="0.2">
      <c r="O233" t="s">
        <v>949</v>
      </c>
      <c r="P233" t="s">
        <v>58</v>
      </c>
      <c r="Q233" t="s">
        <v>5</v>
      </c>
      <c r="R233" t="s">
        <v>729</v>
      </c>
    </row>
    <row r="234" spans="15:26" x14ac:dyDescent="0.2">
      <c r="O234" t="s">
        <v>950</v>
      </c>
      <c r="P234" t="s">
        <v>98</v>
      </c>
      <c r="Q234" t="s">
        <v>5</v>
      </c>
      <c r="R234" t="s">
        <v>669</v>
      </c>
    </row>
    <row r="235" spans="15:26" x14ac:dyDescent="0.2">
      <c r="O235">
        <v>106592818</v>
      </c>
      <c r="P235" t="s">
        <v>272</v>
      </c>
      <c r="Q235" t="s">
        <v>5</v>
      </c>
      <c r="R235" t="s">
        <v>733</v>
      </c>
    </row>
    <row r="236" spans="15:26" x14ac:dyDescent="0.2">
      <c r="O236">
        <v>106603161</v>
      </c>
      <c r="P236" t="s">
        <v>457</v>
      </c>
      <c r="Q236" t="s">
        <v>5</v>
      </c>
      <c r="R236" t="s">
        <v>644</v>
      </c>
    </row>
    <row r="237" spans="15:26" x14ac:dyDescent="0.2">
      <c r="O237">
        <v>106571479</v>
      </c>
      <c r="P237" t="s">
        <v>234</v>
      </c>
      <c r="Q237" t="s">
        <v>5</v>
      </c>
      <c r="R237" t="s">
        <v>654</v>
      </c>
      <c r="U237" t="s">
        <v>951</v>
      </c>
      <c r="Y237" t="s">
        <v>952</v>
      </c>
      <c r="Z237" t="s">
        <v>953</v>
      </c>
    </row>
    <row r="238" spans="15:26" x14ac:dyDescent="0.2">
      <c r="O238" t="s">
        <v>954</v>
      </c>
      <c r="P238" t="s">
        <v>164</v>
      </c>
      <c r="Q238" t="s">
        <v>5</v>
      </c>
      <c r="R238" t="s">
        <v>655</v>
      </c>
      <c r="Y238" t="s">
        <v>851</v>
      </c>
      <c r="Z238" t="s">
        <v>814</v>
      </c>
    </row>
    <row r="239" spans="15:26" x14ac:dyDescent="0.2">
      <c r="O239">
        <v>106564790</v>
      </c>
      <c r="P239" t="s">
        <v>522</v>
      </c>
      <c r="Q239" t="s">
        <v>5</v>
      </c>
      <c r="R239" t="s">
        <v>732</v>
      </c>
    </row>
    <row r="240" spans="15:26" x14ac:dyDescent="0.2">
      <c r="O240">
        <v>106584773</v>
      </c>
      <c r="P240" t="s">
        <v>313</v>
      </c>
      <c r="Q240" t="s">
        <v>5</v>
      </c>
      <c r="R240" t="s">
        <v>733</v>
      </c>
    </row>
    <row r="241" spans="15:26" x14ac:dyDescent="0.2">
      <c r="O241" t="s">
        <v>955</v>
      </c>
      <c r="P241" t="s">
        <v>154</v>
      </c>
      <c r="Q241" t="s">
        <v>5</v>
      </c>
      <c r="R241" t="s">
        <v>654</v>
      </c>
    </row>
    <row r="242" spans="15:26" x14ac:dyDescent="0.2">
      <c r="O242">
        <v>106611443</v>
      </c>
      <c r="P242" t="s">
        <v>453</v>
      </c>
      <c r="Q242" t="s">
        <v>5</v>
      </c>
      <c r="R242" t="s">
        <v>729</v>
      </c>
    </row>
    <row r="243" spans="15:26" x14ac:dyDescent="0.2">
      <c r="O243">
        <v>106565140</v>
      </c>
      <c r="P243" t="s">
        <v>504</v>
      </c>
      <c r="Q243" t="s">
        <v>5</v>
      </c>
      <c r="R243" t="s">
        <v>732</v>
      </c>
      <c r="Y243" t="s">
        <v>912</v>
      </c>
      <c r="Z243" t="s">
        <v>913</v>
      </c>
    </row>
    <row r="244" spans="15:26" x14ac:dyDescent="0.2">
      <c r="O244" t="s">
        <v>956</v>
      </c>
      <c r="P244" t="s">
        <v>218</v>
      </c>
      <c r="Q244" t="s">
        <v>5</v>
      </c>
      <c r="R244" t="s">
        <v>675</v>
      </c>
      <c r="Y244" t="s">
        <v>912</v>
      </c>
      <c r="Z244" t="s">
        <v>913</v>
      </c>
    </row>
    <row r="245" spans="15:26" x14ac:dyDescent="0.2">
      <c r="O245">
        <v>100136509</v>
      </c>
      <c r="P245" t="s">
        <v>536</v>
      </c>
      <c r="Q245" t="s">
        <v>5</v>
      </c>
      <c r="R245" t="s">
        <v>699</v>
      </c>
      <c r="Y245" t="s">
        <v>957</v>
      </c>
    </row>
    <row r="246" spans="15:26" x14ac:dyDescent="0.2">
      <c r="O246">
        <v>100136458</v>
      </c>
      <c r="P246" t="s">
        <v>567</v>
      </c>
      <c r="Q246" t="s">
        <v>5</v>
      </c>
      <c r="R246" t="s">
        <v>733</v>
      </c>
      <c r="Y246" t="s">
        <v>957</v>
      </c>
      <c r="Z246" t="s">
        <v>958</v>
      </c>
    </row>
    <row r="247" spans="15:26" x14ac:dyDescent="0.2">
      <c r="O247">
        <v>106567387</v>
      </c>
      <c r="P247" t="s">
        <v>162</v>
      </c>
      <c r="Q247" t="s">
        <v>5</v>
      </c>
      <c r="R247" t="s">
        <v>734</v>
      </c>
    </row>
    <row r="248" spans="15:26" x14ac:dyDescent="0.2">
      <c r="O248" t="s">
        <v>959</v>
      </c>
      <c r="P248" t="s">
        <v>102</v>
      </c>
      <c r="Q248" t="s">
        <v>5</v>
      </c>
      <c r="R248" t="s">
        <v>733</v>
      </c>
      <c r="Z248" t="s">
        <v>756</v>
      </c>
    </row>
    <row r="249" spans="15:26" x14ac:dyDescent="0.2">
      <c r="O249">
        <v>106579916</v>
      </c>
      <c r="P249" t="s">
        <v>196</v>
      </c>
      <c r="Q249" t="s">
        <v>5</v>
      </c>
      <c r="R249" t="s">
        <v>669</v>
      </c>
    </row>
    <row r="250" spans="15:26" x14ac:dyDescent="0.2">
      <c r="O250" t="s">
        <v>960</v>
      </c>
      <c r="P250" t="s">
        <v>463</v>
      </c>
      <c r="Q250" t="s">
        <v>5</v>
      </c>
      <c r="R250" t="s">
        <v>700</v>
      </c>
    </row>
    <row r="251" spans="15:26" x14ac:dyDescent="0.2">
      <c r="O251">
        <v>106561428</v>
      </c>
      <c r="P251" t="s">
        <v>467</v>
      </c>
      <c r="Q251" t="s">
        <v>5</v>
      </c>
      <c r="R251" t="s">
        <v>655</v>
      </c>
      <c r="U251" t="s">
        <v>703</v>
      </c>
      <c r="Y251" t="s">
        <v>704</v>
      </c>
      <c r="Z251" t="s">
        <v>710</v>
      </c>
    </row>
    <row r="252" spans="15:26" x14ac:dyDescent="0.2">
      <c r="O252">
        <v>100194605</v>
      </c>
      <c r="P252" t="s">
        <v>471</v>
      </c>
      <c r="Q252" t="s">
        <v>5</v>
      </c>
      <c r="R252" t="s">
        <v>650</v>
      </c>
      <c r="Y252" t="s">
        <v>727</v>
      </c>
    </row>
    <row r="253" spans="15:26" x14ac:dyDescent="0.2">
      <c r="O253" t="s">
        <v>961</v>
      </c>
      <c r="P253" t="s">
        <v>118</v>
      </c>
      <c r="Q253" t="s">
        <v>5</v>
      </c>
      <c r="R253" t="s">
        <v>669</v>
      </c>
      <c r="Y253" t="s">
        <v>727</v>
      </c>
    </row>
    <row r="254" spans="15:26" x14ac:dyDescent="0.2">
      <c r="O254">
        <v>106589689</v>
      </c>
      <c r="P254" t="s">
        <v>407</v>
      </c>
      <c r="Q254" t="s">
        <v>5</v>
      </c>
      <c r="R254" t="s">
        <v>714</v>
      </c>
      <c r="Y254" t="s">
        <v>727</v>
      </c>
    </row>
    <row r="255" spans="15:26" x14ac:dyDescent="0.2">
      <c r="O255">
        <v>106561551</v>
      </c>
      <c r="P255" t="s">
        <v>571</v>
      </c>
      <c r="Q255" t="s">
        <v>5</v>
      </c>
      <c r="R255" t="s">
        <v>655</v>
      </c>
      <c r="W255" t="s">
        <v>897</v>
      </c>
      <c r="Y255" t="s">
        <v>898</v>
      </c>
      <c r="Z255" t="s">
        <v>899</v>
      </c>
    </row>
    <row r="256" spans="15:26" x14ac:dyDescent="0.2">
      <c r="O256">
        <v>106567053</v>
      </c>
      <c r="P256" t="s">
        <v>610</v>
      </c>
      <c r="Q256" t="s">
        <v>5</v>
      </c>
      <c r="R256" t="s">
        <v>734</v>
      </c>
      <c r="W256" t="s">
        <v>897</v>
      </c>
      <c r="Y256" t="s">
        <v>898</v>
      </c>
      <c r="Z256" t="s">
        <v>899</v>
      </c>
    </row>
    <row r="257" spans="15:26" x14ac:dyDescent="0.2">
      <c r="O257" t="s">
        <v>962</v>
      </c>
      <c r="P257" t="s">
        <v>172</v>
      </c>
      <c r="Q257" t="s">
        <v>5</v>
      </c>
      <c r="R257" t="s">
        <v>675</v>
      </c>
      <c r="W257" t="s">
        <v>897</v>
      </c>
      <c r="Y257" t="s">
        <v>898</v>
      </c>
      <c r="Z257" t="s">
        <v>899</v>
      </c>
    </row>
    <row r="258" spans="15:26" x14ac:dyDescent="0.2">
      <c r="O258" t="s">
        <v>963</v>
      </c>
      <c r="P258" t="s">
        <v>82</v>
      </c>
      <c r="Q258" t="s">
        <v>5</v>
      </c>
      <c r="R258" t="s">
        <v>675</v>
      </c>
      <c r="W258" t="s">
        <v>897</v>
      </c>
      <c r="Y258" t="s">
        <v>898</v>
      </c>
      <c r="Z258" t="s">
        <v>899</v>
      </c>
    </row>
    <row r="259" spans="15:26" x14ac:dyDescent="0.2">
      <c r="O259">
        <v>106566524</v>
      </c>
      <c r="P259" t="s">
        <v>614</v>
      </c>
      <c r="Q259" t="s">
        <v>5</v>
      </c>
      <c r="R259" t="s">
        <v>734</v>
      </c>
      <c r="W259" t="s">
        <v>897</v>
      </c>
      <c r="Y259" t="s">
        <v>898</v>
      </c>
      <c r="Z259" t="s">
        <v>899</v>
      </c>
    </row>
    <row r="260" spans="15:26" x14ac:dyDescent="0.2">
      <c r="O260" t="s">
        <v>964</v>
      </c>
      <c r="P260" t="s">
        <v>252</v>
      </c>
      <c r="Q260" t="s">
        <v>5</v>
      </c>
      <c r="R260" t="s">
        <v>774</v>
      </c>
      <c r="W260" t="s">
        <v>897</v>
      </c>
      <c r="Y260" t="s">
        <v>898</v>
      </c>
      <c r="Z260" t="s">
        <v>899</v>
      </c>
    </row>
    <row r="261" spans="15:26" x14ac:dyDescent="0.2">
      <c r="O261">
        <v>106569340</v>
      </c>
      <c r="P261" t="s">
        <v>367</v>
      </c>
      <c r="Q261" t="s">
        <v>5</v>
      </c>
      <c r="R261" t="s">
        <v>699</v>
      </c>
      <c r="W261" t="s">
        <v>897</v>
      </c>
      <c r="Y261" t="s">
        <v>898</v>
      </c>
      <c r="Z261" t="s">
        <v>899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B025A-F978-439A-9A8D-FAC46E970BE4}">
  <dimension ref="C3:O36"/>
  <sheetViews>
    <sheetView zoomScale="66" zoomScaleNormal="66" workbookViewId="0">
      <selection activeCell="E4" sqref="E4"/>
    </sheetView>
  </sheetViews>
  <sheetFormatPr defaultRowHeight="14.25" x14ac:dyDescent="0.2"/>
  <cols>
    <col min="3" max="3" width="16.125" customWidth="1"/>
    <col min="4" max="4" width="33.25" customWidth="1"/>
  </cols>
  <sheetData>
    <row r="3" spans="3:15" x14ac:dyDescent="0.2">
      <c r="C3" t="s">
        <v>1215</v>
      </c>
      <c r="D3" t="s">
        <v>1216</v>
      </c>
      <c r="E3" t="s">
        <v>1217</v>
      </c>
      <c r="F3" t="s">
        <v>1218</v>
      </c>
      <c r="G3" t="s">
        <v>1219</v>
      </c>
      <c r="H3" t="s">
        <v>1220</v>
      </c>
      <c r="I3" t="s">
        <v>1221</v>
      </c>
      <c r="J3" t="s">
        <v>1222</v>
      </c>
      <c r="K3" t="s">
        <v>1223</v>
      </c>
      <c r="L3" t="s">
        <v>1224</v>
      </c>
      <c r="M3" t="s">
        <v>1225</v>
      </c>
      <c r="N3" t="s">
        <v>1226</v>
      </c>
      <c r="O3" t="s">
        <v>1227</v>
      </c>
    </row>
    <row r="4" spans="3:15" x14ac:dyDescent="0.2">
      <c r="C4" t="s">
        <v>1228</v>
      </c>
      <c r="D4" t="s">
        <v>1229</v>
      </c>
      <c r="E4">
        <v>307</v>
      </c>
      <c r="F4" s="1">
        <v>99.675324675324603</v>
      </c>
      <c r="G4" s="2">
        <v>0</v>
      </c>
      <c r="H4" t="s">
        <v>1230</v>
      </c>
      <c r="I4">
        <v>308</v>
      </c>
      <c r="J4">
        <v>356</v>
      </c>
      <c r="K4">
        <v>13273</v>
      </c>
      <c r="L4" s="2">
        <v>37.162656865606301</v>
      </c>
      <c r="M4" s="2">
        <v>0</v>
      </c>
      <c r="N4" s="2">
        <v>0</v>
      </c>
      <c r="O4" s="2">
        <v>0</v>
      </c>
    </row>
    <row r="5" spans="3:15" x14ac:dyDescent="0.2">
      <c r="C5" t="s">
        <v>1228</v>
      </c>
      <c r="D5" t="s">
        <v>1233</v>
      </c>
      <c r="E5">
        <v>100</v>
      </c>
      <c r="F5" s="1">
        <v>32.467532467532401</v>
      </c>
      <c r="G5" s="2">
        <v>8.4586501106626794E-76</v>
      </c>
      <c r="H5" t="s">
        <v>1234</v>
      </c>
      <c r="I5">
        <v>308</v>
      </c>
      <c r="J5">
        <v>406</v>
      </c>
      <c r="K5">
        <v>13273</v>
      </c>
      <c r="L5" s="2">
        <v>10.6143240995457</v>
      </c>
      <c r="M5" s="2">
        <v>4.90601706418436E-74</v>
      </c>
      <c r="N5" s="2">
        <v>1.63533902139478E-74</v>
      </c>
      <c r="O5" s="2">
        <v>7.6127850995964203E-75</v>
      </c>
    </row>
    <row r="6" spans="3:15" x14ac:dyDescent="0.2">
      <c r="C6" t="s">
        <v>1228</v>
      </c>
      <c r="D6" t="s">
        <v>1231</v>
      </c>
      <c r="E6">
        <v>99</v>
      </c>
      <c r="F6" s="1">
        <v>32.142857142857103</v>
      </c>
      <c r="G6" s="2">
        <v>1.6144223882891601E-84</v>
      </c>
      <c r="H6" t="s">
        <v>1232</v>
      </c>
      <c r="I6">
        <v>308</v>
      </c>
      <c r="J6">
        <v>328</v>
      </c>
      <c r="K6">
        <v>13273</v>
      </c>
      <c r="L6" s="2">
        <v>13.007077526132401</v>
      </c>
      <c r="M6" s="2">
        <v>9.3636498520771299E-83</v>
      </c>
      <c r="N6" s="2">
        <v>4.6818249260385598E-83</v>
      </c>
      <c r="O6" s="2">
        <v>2.17947022419036E-83</v>
      </c>
    </row>
    <row r="7" spans="3:15" x14ac:dyDescent="0.2">
      <c r="C7" t="s">
        <v>1228</v>
      </c>
      <c r="D7" t="s">
        <v>1237</v>
      </c>
      <c r="E7">
        <v>90</v>
      </c>
      <c r="F7" s="1">
        <v>29.2207792207792</v>
      </c>
      <c r="G7" s="2">
        <v>7.1932468409616597E-70</v>
      </c>
      <c r="H7" t="s">
        <v>1238</v>
      </c>
      <c r="I7">
        <v>308</v>
      </c>
      <c r="J7">
        <v>346</v>
      </c>
      <c r="K7">
        <v>13273</v>
      </c>
      <c r="L7" s="2">
        <v>11.2094625028151</v>
      </c>
      <c r="M7" s="2">
        <v>4.1720831677577597E-68</v>
      </c>
      <c r="N7" s="2">
        <v>8.3441663355155198E-69</v>
      </c>
      <c r="O7" s="2">
        <v>3.8843532941192902E-69</v>
      </c>
    </row>
    <row r="8" spans="3:15" x14ac:dyDescent="0.2">
      <c r="C8" t="s">
        <v>1228</v>
      </c>
      <c r="D8" t="s">
        <v>1235</v>
      </c>
      <c r="E8">
        <v>82</v>
      </c>
      <c r="F8" s="1">
        <v>26.6233766233766</v>
      </c>
      <c r="G8" s="2">
        <v>2.56703390288054E-73</v>
      </c>
      <c r="H8" t="s">
        <v>1236</v>
      </c>
      <c r="I8">
        <v>308</v>
      </c>
      <c r="J8">
        <v>244</v>
      </c>
      <c r="K8">
        <v>13273</v>
      </c>
      <c r="L8" s="2">
        <v>14.4824622099212</v>
      </c>
      <c r="M8" s="2">
        <v>1.4888796636707099E-71</v>
      </c>
      <c r="N8" s="2">
        <v>3.7221991591767899E-72</v>
      </c>
      <c r="O8" s="2">
        <v>1.73274788444436E-72</v>
      </c>
    </row>
    <row r="9" spans="3:15" x14ac:dyDescent="0.2">
      <c r="C9" t="s">
        <v>1228</v>
      </c>
      <c r="D9" t="s">
        <v>1241</v>
      </c>
      <c r="E9">
        <v>74</v>
      </c>
      <c r="F9" s="1">
        <v>24.025974025974001</v>
      </c>
      <c r="G9" s="2">
        <v>1.3920200005442801E-43</v>
      </c>
      <c r="H9" t="s">
        <v>1242</v>
      </c>
      <c r="I9">
        <v>308</v>
      </c>
      <c r="J9">
        <v>424</v>
      </c>
      <c r="K9">
        <v>13273</v>
      </c>
      <c r="L9" s="2">
        <v>7.5211498407253101</v>
      </c>
      <c r="M9" s="2">
        <v>8.0737160031568603E-42</v>
      </c>
      <c r="N9" s="2">
        <v>1.15338800045098E-42</v>
      </c>
      <c r="O9" s="2">
        <v>5.3692200020993902E-43</v>
      </c>
    </row>
    <row r="10" spans="3:15" x14ac:dyDescent="0.2">
      <c r="C10" t="s">
        <v>1228</v>
      </c>
      <c r="D10" t="s">
        <v>1249</v>
      </c>
      <c r="E10">
        <v>71</v>
      </c>
      <c r="F10" s="1">
        <v>23.051948051947999</v>
      </c>
      <c r="G10" s="2">
        <v>1.9906627635717901E-35</v>
      </c>
      <c r="H10" t="s">
        <v>1250</v>
      </c>
      <c r="I10">
        <v>308</v>
      </c>
      <c r="J10">
        <v>504</v>
      </c>
      <c r="K10">
        <v>13273</v>
      </c>
      <c r="L10" s="2">
        <v>6.0708037002679802</v>
      </c>
      <c r="M10" s="2">
        <v>1.1545844028716299E-33</v>
      </c>
      <c r="N10" s="2">
        <v>1.0496221844287599E-34</v>
      </c>
      <c r="O10" s="2">
        <v>4.8861722378580297E-35</v>
      </c>
    </row>
    <row r="11" spans="3:15" x14ac:dyDescent="0.2">
      <c r="C11" t="s">
        <v>1228</v>
      </c>
      <c r="D11" t="s">
        <v>1239</v>
      </c>
      <c r="E11">
        <v>68</v>
      </c>
      <c r="F11" s="1">
        <v>22.077922077922</v>
      </c>
      <c r="G11" s="2">
        <v>7.1382461783268302E-60</v>
      </c>
      <c r="H11" t="s">
        <v>1240</v>
      </c>
      <c r="I11">
        <v>308</v>
      </c>
      <c r="J11">
        <v>204</v>
      </c>
      <c r="K11">
        <v>13273</v>
      </c>
      <c r="L11" s="2">
        <v>14.364718614718599</v>
      </c>
      <c r="M11" s="2">
        <v>4.1401827834295597E-58</v>
      </c>
      <c r="N11" s="2">
        <v>6.9003046390492702E-59</v>
      </c>
      <c r="O11" s="2">
        <v>3.2122107802470701E-59</v>
      </c>
    </row>
    <row r="12" spans="3:15" x14ac:dyDescent="0.2">
      <c r="C12" t="s">
        <v>1228</v>
      </c>
      <c r="D12" t="s">
        <v>1259</v>
      </c>
      <c r="E12">
        <v>64</v>
      </c>
      <c r="F12" s="1">
        <v>20.779220779220701</v>
      </c>
      <c r="G12" s="2">
        <v>4.90791440675419E-20</v>
      </c>
      <c r="H12" t="s">
        <v>1260</v>
      </c>
      <c r="I12">
        <v>308</v>
      </c>
      <c r="J12">
        <v>740</v>
      </c>
      <c r="K12">
        <v>13273</v>
      </c>
      <c r="L12" s="2">
        <v>3.72706212706212</v>
      </c>
      <c r="M12" s="2">
        <v>2.8465903559174299E-18</v>
      </c>
      <c r="N12" s="2">
        <v>1.7791189724483901E-19</v>
      </c>
      <c r="O12" s="2">
        <v>8.2821055613976995E-20</v>
      </c>
    </row>
    <row r="13" spans="3:15" x14ac:dyDescent="0.2">
      <c r="C13" t="s">
        <v>1228</v>
      </c>
      <c r="D13" t="s">
        <v>1253</v>
      </c>
      <c r="E13">
        <v>59</v>
      </c>
      <c r="F13" s="1">
        <v>19.1558441558441</v>
      </c>
      <c r="G13" s="2">
        <v>6.4384961643730197E-31</v>
      </c>
      <c r="H13" t="s">
        <v>1254</v>
      </c>
      <c r="I13">
        <v>308</v>
      </c>
      <c r="J13">
        <v>389</v>
      </c>
      <c r="K13">
        <v>13273</v>
      </c>
      <c r="L13" s="2">
        <v>6.5361316061830204</v>
      </c>
      <c r="M13" s="2">
        <v>3.73432777533635E-29</v>
      </c>
      <c r="N13" s="2">
        <v>2.8725598271818099E-30</v>
      </c>
      <c r="O13" s="2">
        <v>1.3372261264467E-30</v>
      </c>
    </row>
    <row r="14" spans="3:15" x14ac:dyDescent="0.2">
      <c r="C14" t="s">
        <v>1228</v>
      </c>
      <c r="D14" t="s">
        <v>1257</v>
      </c>
      <c r="E14">
        <v>58</v>
      </c>
      <c r="F14" s="1">
        <v>18.831168831168799</v>
      </c>
      <c r="G14" s="2">
        <v>6.1440133084274503E-22</v>
      </c>
      <c r="H14" t="s">
        <v>1258</v>
      </c>
      <c r="I14">
        <v>308</v>
      </c>
      <c r="J14">
        <v>557</v>
      </c>
      <c r="K14">
        <v>13273</v>
      </c>
      <c r="L14" s="2">
        <v>4.4873627270395602</v>
      </c>
      <c r="M14" s="2">
        <v>3.5635277188879201E-20</v>
      </c>
      <c r="N14" s="2">
        <v>2.3756851459252801E-21</v>
      </c>
      <c r="O14" s="2">
        <v>1.10592239551694E-21</v>
      </c>
    </row>
    <row r="15" spans="3:15" x14ac:dyDescent="0.2">
      <c r="C15" t="s">
        <v>1228</v>
      </c>
      <c r="D15" t="s">
        <v>1251</v>
      </c>
      <c r="E15">
        <v>57</v>
      </c>
      <c r="F15" s="1">
        <v>18.506493506493499</v>
      </c>
      <c r="G15" s="2">
        <v>9.3283351301067295E-32</v>
      </c>
      <c r="H15" t="s">
        <v>1252</v>
      </c>
      <c r="I15">
        <v>308</v>
      </c>
      <c r="J15">
        <v>346</v>
      </c>
      <c r="K15">
        <v>13273</v>
      </c>
      <c r="L15" s="2">
        <v>7.0993262517828999</v>
      </c>
      <c r="M15" s="2">
        <v>5.4104343754619001E-30</v>
      </c>
      <c r="N15" s="2">
        <v>4.5086953128849197E-31</v>
      </c>
      <c r="O15" s="2">
        <v>2.0988754042740099E-31</v>
      </c>
    </row>
    <row r="16" spans="3:15" x14ac:dyDescent="0.2">
      <c r="C16" t="s">
        <v>1228</v>
      </c>
      <c r="D16" t="s">
        <v>1247</v>
      </c>
      <c r="E16">
        <v>55</v>
      </c>
      <c r="F16" s="1">
        <v>17.857142857142801</v>
      </c>
      <c r="G16" s="2">
        <v>6.8270679989697998E-36</v>
      </c>
      <c r="H16" t="s">
        <v>1248</v>
      </c>
      <c r="I16">
        <v>308</v>
      </c>
      <c r="J16">
        <v>266</v>
      </c>
      <c r="K16">
        <v>13273</v>
      </c>
      <c r="L16" s="2">
        <v>8.91044575725026</v>
      </c>
      <c r="M16" s="2">
        <v>3.9596994394024797E-34</v>
      </c>
      <c r="N16" s="2">
        <v>3.9596994394024799E-35</v>
      </c>
      <c r="O16" s="2">
        <v>1.84330835972184E-35</v>
      </c>
    </row>
    <row r="17" spans="3:15" x14ac:dyDescent="0.2">
      <c r="C17" t="s">
        <v>1228</v>
      </c>
      <c r="D17" t="s">
        <v>1243</v>
      </c>
      <c r="E17">
        <v>53</v>
      </c>
      <c r="F17" s="1">
        <v>17.207792207792199</v>
      </c>
      <c r="G17" s="2">
        <v>1.1702225040078501E-40</v>
      </c>
      <c r="H17" t="s">
        <v>1244</v>
      </c>
      <c r="I17">
        <v>308</v>
      </c>
      <c r="J17">
        <v>198</v>
      </c>
      <c r="K17">
        <v>13273</v>
      </c>
      <c r="L17" s="2">
        <v>11.535304342122499</v>
      </c>
      <c r="M17" s="2">
        <v>6.7872905232455494E-39</v>
      </c>
      <c r="N17" s="2">
        <v>8.48411315405694E-40</v>
      </c>
      <c r="O17" s="2">
        <v>3.9495009510265099E-40</v>
      </c>
    </row>
    <row r="18" spans="3:15" x14ac:dyDescent="0.2">
      <c r="C18" t="s">
        <v>1228</v>
      </c>
      <c r="D18" t="s">
        <v>1245</v>
      </c>
      <c r="E18">
        <v>48</v>
      </c>
      <c r="F18" s="1">
        <v>15.584415584415501</v>
      </c>
      <c r="G18" s="2">
        <v>1.40804762610028E-40</v>
      </c>
      <c r="H18" t="s">
        <v>1246</v>
      </c>
      <c r="I18">
        <v>308</v>
      </c>
      <c r="J18">
        <v>151</v>
      </c>
      <c r="K18">
        <v>13273</v>
      </c>
      <c r="L18" s="2">
        <v>13.6988045067515</v>
      </c>
      <c r="M18" s="2">
        <v>8.1666762313816405E-39</v>
      </c>
      <c r="N18" s="2">
        <v>9.0740847015351599E-40</v>
      </c>
      <c r="O18" s="2">
        <v>4.2241428783008501E-40</v>
      </c>
    </row>
    <row r="19" spans="3:15" x14ac:dyDescent="0.2">
      <c r="C19" t="s">
        <v>1228</v>
      </c>
      <c r="D19" t="s">
        <v>1265</v>
      </c>
      <c r="E19">
        <v>48</v>
      </c>
      <c r="F19" s="1">
        <v>15.584415584415501</v>
      </c>
      <c r="G19" s="2">
        <v>2.00234086831392E-13</v>
      </c>
      <c r="H19" t="s">
        <v>1266</v>
      </c>
      <c r="I19">
        <v>308</v>
      </c>
      <c r="J19">
        <v>606</v>
      </c>
      <c r="K19">
        <v>13273</v>
      </c>
      <c r="L19" s="2">
        <v>3.4133984827054098</v>
      </c>
      <c r="M19" s="2">
        <v>1.1616485551257901E-11</v>
      </c>
      <c r="N19" s="2">
        <v>6.1124089664319903E-13</v>
      </c>
      <c r="O19" s="2">
        <v>2.8454317602355799E-13</v>
      </c>
    </row>
    <row r="20" spans="3:15" x14ac:dyDescent="0.2">
      <c r="C20" t="s">
        <v>1228</v>
      </c>
      <c r="D20" t="s">
        <v>1274</v>
      </c>
      <c r="E20">
        <v>46</v>
      </c>
      <c r="F20" s="1">
        <v>14.935064935064901</v>
      </c>
      <c r="G20" s="2">
        <v>3.5733744421937202E-9</v>
      </c>
      <c r="H20" t="s">
        <v>1275</v>
      </c>
      <c r="I20">
        <v>308</v>
      </c>
      <c r="J20">
        <v>751</v>
      </c>
      <c r="K20">
        <v>13273</v>
      </c>
      <c r="L20" s="2">
        <v>2.63958877341034</v>
      </c>
      <c r="M20" s="2">
        <v>2.07255699047337E-7</v>
      </c>
      <c r="N20" s="2">
        <v>8.6356549019681699E-9</v>
      </c>
      <c r="O20" s="2">
        <v>4.0200462474679402E-9</v>
      </c>
    </row>
    <row r="21" spans="3:15" x14ac:dyDescent="0.2">
      <c r="C21" t="s">
        <v>1228</v>
      </c>
      <c r="D21" t="s">
        <v>1255</v>
      </c>
      <c r="E21">
        <v>43</v>
      </c>
      <c r="F21" s="1">
        <v>13.9610389610389</v>
      </c>
      <c r="G21" s="2">
        <v>1.6429637594018101E-26</v>
      </c>
      <c r="H21" t="s">
        <v>1256</v>
      </c>
      <c r="I21">
        <v>308</v>
      </c>
      <c r="J21">
        <v>224</v>
      </c>
      <c r="K21">
        <v>13273</v>
      </c>
      <c r="L21" s="2">
        <v>8.2725388450834796</v>
      </c>
      <c r="M21" s="2">
        <v>9.5291898045305008E-25</v>
      </c>
      <c r="N21" s="2">
        <v>6.8065641460932096E-26</v>
      </c>
      <c r="O21" s="2">
        <v>3.1685729645606303E-26</v>
      </c>
    </row>
    <row r="22" spans="3:15" x14ac:dyDescent="0.2">
      <c r="C22" t="s">
        <v>1228</v>
      </c>
      <c r="D22" t="s">
        <v>1263</v>
      </c>
      <c r="E22">
        <v>42</v>
      </c>
      <c r="F22" s="1">
        <v>13.636363636363599</v>
      </c>
      <c r="G22" s="2">
        <v>3.36689522610856E-18</v>
      </c>
      <c r="H22" t="s">
        <v>1264</v>
      </c>
      <c r="I22">
        <v>308</v>
      </c>
      <c r="J22">
        <v>346</v>
      </c>
      <c r="K22">
        <v>13273</v>
      </c>
      <c r="L22" s="2">
        <v>5.2310825013137103</v>
      </c>
      <c r="M22" s="2">
        <v>1.95279923114296E-16</v>
      </c>
      <c r="N22" s="2">
        <v>1.08488846174609E-17</v>
      </c>
      <c r="O22" s="2">
        <v>5.0503428391628399E-18</v>
      </c>
    </row>
    <row r="23" spans="3:15" x14ac:dyDescent="0.2">
      <c r="C23" t="s">
        <v>1228</v>
      </c>
      <c r="D23" t="s">
        <v>1261</v>
      </c>
      <c r="E23">
        <v>33</v>
      </c>
      <c r="F23" s="1">
        <v>10.714285714285699</v>
      </c>
      <c r="G23" s="2">
        <v>9.6709276240766297E-20</v>
      </c>
      <c r="H23" t="s">
        <v>1262</v>
      </c>
      <c r="I23">
        <v>308</v>
      </c>
      <c r="J23">
        <v>179</v>
      </c>
      <c r="K23">
        <v>13273</v>
      </c>
      <c r="L23" s="2">
        <v>7.9447326416600097</v>
      </c>
      <c r="M23" s="2">
        <v>5.6091380219644402E-18</v>
      </c>
      <c r="N23" s="2">
        <v>3.2994929540967301E-19</v>
      </c>
      <c r="O23" s="2">
        <v>1.53597085794158E-19</v>
      </c>
    </row>
    <row r="24" spans="3:15" x14ac:dyDescent="0.2">
      <c r="C24" t="s">
        <v>1228</v>
      </c>
      <c r="D24" t="s">
        <v>1267</v>
      </c>
      <c r="E24">
        <v>28</v>
      </c>
      <c r="F24" s="1">
        <v>9.0909090909090899</v>
      </c>
      <c r="G24" s="2">
        <v>8.7192521716062796E-13</v>
      </c>
      <c r="H24" t="s">
        <v>1268</v>
      </c>
      <c r="I24">
        <v>308</v>
      </c>
      <c r="J24">
        <v>217</v>
      </c>
      <c r="K24">
        <v>13273</v>
      </c>
      <c r="L24" s="2">
        <v>5.5605362379555903</v>
      </c>
      <c r="M24" s="2">
        <v>5.0574211485354597E-11</v>
      </c>
      <c r="N24" s="2">
        <v>2.52858312976582E-12</v>
      </c>
      <c r="O24" s="2">
        <v>1.17709904316684E-12</v>
      </c>
    </row>
    <row r="25" spans="3:15" x14ac:dyDescent="0.2">
      <c r="C25" t="s">
        <v>1228</v>
      </c>
      <c r="D25" t="s">
        <v>1269</v>
      </c>
      <c r="E25">
        <v>28</v>
      </c>
      <c r="F25" s="1">
        <v>9.0909090909090899</v>
      </c>
      <c r="G25" s="2">
        <v>3.1837318938245201E-12</v>
      </c>
      <c r="H25" t="s">
        <v>1268</v>
      </c>
      <c r="I25">
        <v>308</v>
      </c>
      <c r="J25">
        <v>229</v>
      </c>
      <c r="K25">
        <v>13273</v>
      </c>
      <c r="L25" s="2">
        <v>5.2691544263596599</v>
      </c>
      <c r="M25" s="2">
        <v>1.8465962092761799E-10</v>
      </c>
      <c r="N25" s="2">
        <v>8.7931642781820294E-12</v>
      </c>
      <c r="O25" s="2">
        <v>4.0933695777743901E-12</v>
      </c>
    </row>
    <row r="26" spans="3:15" x14ac:dyDescent="0.2">
      <c r="C26" t="s">
        <v>1228</v>
      </c>
      <c r="D26" t="s">
        <v>1270</v>
      </c>
      <c r="E26">
        <v>25</v>
      </c>
      <c r="F26" s="1">
        <v>8.1168831168831108</v>
      </c>
      <c r="G26" s="2">
        <v>5.6255212228620401E-11</v>
      </c>
      <c r="H26" t="s">
        <v>1271</v>
      </c>
      <c r="I26">
        <v>308</v>
      </c>
      <c r="J26">
        <v>204</v>
      </c>
      <c r="K26">
        <v>13273</v>
      </c>
      <c r="L26" s="2">
        <v>5.2811465495289003</v>
      </c>
      <c r="M26" s="2">
        <v>3.2628029167369699E-9</v>
      </c>
      <c r="N26" s="2">
        <v>1.48309195875453E-10</v>
      </c>
      <c r="O26" s="2">
        <v>6.9040487735125005E-11</v>
      </c>
    </row>
    <row r="27" spans="3:15" x14ac:dyDescent="0.2">
      <c r="C27" t="s">
        <v>1228</v>
      </c>
      <c r="D27" t="s">
        <v>1272</v>
      </c>
      <c r="E27">
        <v>23</v>
      </c>
      <c r="F27" s="1">
        <v>7.4675324675324601</v>
      </c>
      <c r="G27" s="2">
        <v>3.0683488171416201E-9</v>
      </c>
      <c r="H27" t="s">
        <v>1273</v>
      </c>
      <c r="I27">
        <v>308</v>
      </c>
      <c r="J27">
        <v>209</v>
      </c>
      <c r="K27">
        <v>13273</v>
      </c>
      <c r="L27" s="2">
        <v>4.7424190641893897</v>
      </c>
      <c r="M27" s="2">
        <v>1.77964214698178E-7</v>
      </c>
      <c r="N27" s="2">
        <v>7.7375752780093007E-9</v>
      </c>
      <c r="O27" s="2">
        <v>3.6019746983836398E-9</v>
      </c>
    </row>
    <row r="28" spans="3:15" x14ac:dyDescent="0.2">
      <c r="C28" t="s">
        <v>1228</v>
      </c>
      <c r="D28" t="s">
        <v>1276</v>
      </c>
      <c r="E28">
        <v>22</v>
      </c>
      <c r="F28" s="1">
        <v>7.1428571428571397</v>
      </c>
      <c r="G28" s="2">
        <v>8.9989597342651903E-6</v>
      </c>
      <c r="H28" t="s">
        <v>1277</v>
      </c>
      <c r="I28">
        <v>308</v>
      </c>
      <c r="J28">
        <v>306</v>
      </c>
      <c r="K28">
        <v>13273</v>
      </c>
      <c r="L28" s="2">
        <v>3.0982726423902802</v>
      </c>
      <c r="M28" s="2">
        <v>5.2180582502159203E-4</v>
      </c>
      <c r="N28" s="2">
        <v>2.08775865834952E-5</v>
      </c>
      <c r="O28" s="2">
        <v>9.7188765130064096E-6</v>
      </c>
    </row>
    <row r="29" spans="3:15" x14ac:dyDescent="0.2">
      <c r="C29" t="s">
        <v>1228</v>
      </c>
      <c r="D29" t="s">
        <v>1278</v>
      </c>
      <c r="E29">
        <v>20</v>
      </c>
      <c r="F29" s="1">
        <v>6.4935064935064899</v>
      </c>
      <c r="G29" s="2">
        <v>2.3111899754749699E-5</v>
      </c>
      <c r="H29" t="s">
        <v>1279</v>
      </c>
      <c r="I29">
        <v>308</v>
      </c>
      <c r="J29">
        <v>276</v>
      </c>
      <c r="K29">
        <v>13273</v>
      </c>
      <c r="L29" s="2">
        <v>3.1227649162431699</v>
      </c>
      <c r="M29" s="2">
        <v>1.3396076002564199E-3</v>
      </c>
      <c r="N29" s="2">
        <v>5.1557314837518599E-5</v>
      </c>
      <c r="O29" s="2">
        <v>2.4000818976086201E-5</v>
      </c>
    </row>
    <row r="30" spans="3:15" x14ac:dyDescent="0.2">
      <c r="C30" t="s">
        <v>1228</v>
      </c>
      <c r="D30" t="s">
        <v>1280</v>
      </c>
      <c r="E30">
        <v>18</v>
      </c>
      <c r="F30" s="1">
        <v>5.8441558441558401</v>
      </c>
      <c r="G30" s="2">
        <v>8.8075080095095296E-5</v>
      </c>
      <c r="H30" t="s">
        <v>1281</v>
      </c>
      <c r="I30">
        <v>308</v>
      </c>
      <c r="J30">
        <v>254</v>
      </c>
      <c r="K30">
        <v>13273</v>
      </c>
      <c r="L30" s="2">
        <v>3.0539165558850598</v>
      </c>
      <c r="M30" s="2">
        <v>5.0955530171578004E-3</v>
      </c>
      <c r="N30" s="2">
        <v>1.8919832020427801E-4</v>
      </c>
      <c r="O30" s="2">
        <v>8.8075080095095296E-5</v>
      </c>
    </row>
    <row r="31" spans="3:15" x14ac:dyDescent="0.2">
      <c r="C31" t="s">
        <v>1228</v>
      </c>
      <c r="D31" t="s">
        <v>1284</v>
      </c>
      <c r="E31">
        <v>18</v>
      </c>
      <c r="F31" s="1">
        <v>5.8441558441558401</v>
      </c>
      <c r="G31" s="2">
        <v>2.39524929393039E-4</v>
      </c>
      <c r="H31" t="s">
        <v>1285</v>
      </c>
      <c r="I31">
        <v>308</v>
      </c>
      <c r="J31">
        <v>276</v>
      </c>
      <c r="K31">
        <v>13273</v>
      </c>
      <c r="L31" s="2">
        <v>2.8104884246188502</v>
      </c>
      <c r="M31" s="2">
        <v>1.37980323041595E-2</v>
      </c>
      <c r="N31" s="2">
        <v>4.79049858786078E-4</v>
      </c>
      <c r="O31" s="2">
        <v>2.39524929393039E-4</v>
      </c>
    </row>
    <row r="32" spans="3:15" x14ac:dyDescent="0.2">
      <c r="C32" t="s">
        <v>1228</v>
      </c>
      <c r="D32" t="s">
        <v>1287</v>
      </c>
      <c r="E32">
        <v>18</v>
      </c>
      <c r="F32" s="1">
        <v>5.8441558441558401</v>
      </c>
      <c r="G32" s="2">
        <v>2.9961852128687601E-3</v>
      </c>
      <c r="H32" t="s">
        <v>1288</v>
      </c>
      <c r="I32">
        <v>308</v>
      </c>
      <c r="J32">
        <v>347</v>
      </c>
      <c r="K32">
        <v>13273</v>
      </c>
      <c r="L32" s="2">
        <v>2.2354317152587999</v>
      </c>
      <c r="M32" s="2">
        <v>0.15973637758943701</v>
      </c>
      <c r="N32" s="2">
        <v>5.6057658821415503E-3</v>
      </c>
      <c r="O32" s="2">
        <v>2.9961852128687601E-3</v>
      </c>
    </row>
    <row r="33" spans="3:15" x14ac:dyDescent="0.2">
      <c r="C33" t="s">
        <v>1228</v>
      </c>
      <c r="D33" t="s">
        <v>1282</v>
      </c>
      <c r="E33">
        <v>17</v>
      </c>
      <c r="F33" s="1">
        <v>5.5194805194805197</v>
      </c>
      <c r="G33" s="2">
        <v>2.0624924230452501E-4</v>
      </c>
      <c r="H33" t="s">
        <v>1283</v>
      </c>
      <c r="I33">
        <v>308</v>
      </c>
      <c r="J33">
        <v>247</v>
      </c>
      <c r="K33">
        <v>13273</v>
      </c>
      <c r="L33" s="2">
        <v>2.9659945317840002</v>
      </c>
      <c r="M33" s="2">
        <v>1.1892409451700101E-2</v>
      </c>
      <c r="N33" s="2">
        <v>4.27230573345088E-4</v>
      </c>
      <c r="O33" s="2">
        <v>2.0624924230452501E-4</v>
      </c>
    </row>
    <row r="34" spans="3:15" x14ac:dyDescent="0.2">
      <c r="C34" t="s">
        <v>1228</v>
      </c>
      <c r="D34" t="s">
        <v>1286</v>
      </c>
      <c r="E34">
        <v>17</v>
      </c>
      <c r="F34" s="1">
        <v>5.5194805194805197</v>
      </c>
      <c r="G34" s="2">
        <v>2.3849903481203802E-3</v>
      </c>
      <c r="H34" t="s">
        <v>1283</v>
      </c>
      <c r="I34">
        <v>308</v>
      </c>
      <c r="J34">
        <v>310</v>
      </c>
      <c r="K34">
        <v>13273</v>
      </c>
      <c r="L34" s="2">
        <v>2.3632279011311201</v>
      </c>
      <c r="M34" s="2">
        <v>0.12933209949142599</v>
      </c>
      <c r="N34" s="2">
        <v>4.6109813396994102E-3</v>
      </c>
      <c r="O34" s="2">
        <v>2.3849903481203802E-3</v>
      </c>
    </row>
    <row r="35" spans="3:15" x14ac:dyDescent="0.2">
      <c r="C35" t="s">
        <v>1228</v>
      </c>
      <c r="D35" t="s">
        <v>1291</v>
      </c>
      <c r="E35">
        <v>10</v>
      </c>
      <c r="F35" s="1">
        <v>3.2467532467532401</v>
      </c>
      <c r="G35" s="2">
        <v>1.5131459701424E-2</v>
      </c>
      <c r="H35" t="s">
        <v>1292</v>
      </c>
      <c r="I35">
        <v>308</v>
      </c>
      <c r="J35">
        <v>166</v>
      </c>
      <c r="K35">
        <v>13273</v>
      </c>
      <c r="L35" s="2">
        <v>2.5960334845877</v>
      </c>
      <c r="M35" s="2">
        <v>0.58701015878828999</v>
      </c>
      <c r="N35" s="2">
        <v>2.65946867479574E-2</v>
      </c>
      <c r="O35" s="2">
        <v>1.5131459701424E-2</v>
      </c>
    </row>
    <row r="36" spans="3:15" x14ac:dyDescent="0.2">
      <c r="C36" t="s">
        <v>1228</v>
      </c>
      <c r="D36" t="s">
        <v>1289</v>
      </c>
      <c r="E36">
        <v>6</v>
      </c>
      <c r="F36" s="1">
        <v>1.94805194805194</v>
      </c>
      <c r="G36" s="2">
        <v>1.3259977535813599E-2</v>
      </c>
      <c r="H36" t="s">
        <v>1290</v>
      </c>
      <c r="I36">
        <v>308</v>
      </c>
      <c r="J36">
        <v>61</v>
      </c>
      <c r="K36">
        <v>13273</v>
      </c>
      <c r="L36" s="2">
        <v>4.2387694272940104</v>
      </c>
      <c r="M36" s="2">
        <v>0.53893820905600598</v>
      </c>
      <c r="N36" s="2">
        <v>2.4033709283662299E-2</v>
      </c>
      <c r="O36" s="2">
        <v>1.3259977535813599E-2</v>
      </c>
    </row>
  </sheetData>
  <sortState xmlns:xlrd2="http://schemas.microsoft.com/office/spreadsheetml/2017/richdata2" ref="C4:O36">
    <sortCondition descending="1" ref="E4:E3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BDE7-7DFE-46AD-A8F6-4796C0CDE82F}">
  <dimension ref="C3:Q36"/>
  <sheetViews>
    <sheetView zoomScale="64" zoomScaleNormal="64" workbookViewId="0">
      <selection activeCell="D6" sqref="D6"/>
    </sheetView>
  </sheetViews>
  <sheetFormatPr defaultRowHeight="14.25" x14ac:dyDescent="0.2"/>
  <cols>
    <col min="3" max="3" width="16.25" customWidth="1"/>
    <col min="4" max="4" width="39.75" customWidth="1"/>
    <col min="8" max="8" width="10.875" customWidth="1"/>
  </cols>
  <sheetData>
    <row r="3" spans="3:17" x14ac:dyDescent="0.2">
      <c r="C3" t="s">
        <v>1215</v>
      </c>
      <c r="D3" t="s">
        <v>1216</v>
      </c>
      <c r="E3" t="s">
        <v>1217</v>
      </c>
      <c r="F3" t="s">
        <v>1218</v>
      </c>
      <c r="G3" t="s">
        <v>1219</v>
      </c>
      <c r="H3" t="s">
        <v>1220</v>
      </c>
      <c r="I3" t="s">
        <v>1221</v>
      </c>
      <c r="J3" t="s">
        <v>1222</v>
      </c>
      <c r="K3" t="s">
        <v>1223</v>
      </c>
      <c r="L3" t="s">
        <v>1224</v>
      </c>
      <c r="M3" t="s">
        <v>1225</v>
      </c>
      <c r="N3" t="s">
        <v>1226</v>
      </c>
      <c r="O3" t="s">
        <v>1227</v>
      </c>
    </row>
    <row r="4" spans="3:17" x14ac:dyDescent="0.2">
      <c r="C4" t="s">
        <v>1228</v>
      </c>
      <c r="D4" t="s">
        <v>1229</v>
      </c>
      <c r="E4">
        <v>259</v>
      </c>
      <c r="F4" s="1">
        <v>99.615384615384599</v>
      </c>
      <c r="G4" s="2">
        <v>0</v>
      </c>
      <c r="H4" t="s">
        <v>1293</v>
      </c>
      <c r="I4">
        <v>260</v>
      </c>
      <c r="J4">
        <v>356</v>
      </c>
      <c r="K4">
        <v>13273</v>
      </c>
      <c r="L4" s="2">
        <v>37.140308988763998</v>
      </c>
      <c r="M4" s="2">
        <v>0</v>
      </c>
      <c r="N4" s="2">
        <v>0</v>
      </c>
      <c r="O4" s="2">
        <v>0</v>
      </c>
    </row>
    <row r="5" spans="3:17" x14ac:dyDescent="0.2">
      <c r="C5" t="s">
        <v>1228</v>
      </c>
      <c r="D5" t="s">
        <v>1231</v>
      </c>
      <c r="E5">
        <v>87</v>
      </c>
      <c r="F5" s="2">
        <v>33.461538461538403</v>
      </c>
      <c r="G5" s="2">
        <v>2.51317638758167E-75</v>
      </c>
      <c r="H5" t="s">
        <v>1294</v>
      </c>
      <c r="I5">
        <v>260</v>
      </c>
      <c r="J5">
        <v>328</v>
      </c>
      <c r="K5">
        <v>13273</v>
      </c>
      <c r="L5" s="2">
        <v>13.540701219512099</v>
      </c>
      <c r="M5" s="2">
        <v>1.4576423047973701E-73</v>
      </c>
      <c r="N5" s="2">
        <v>7.2882115239868503E-74</v>
      </c>
      <c r="O5" s="2">
        <v>3.3927881232352599E-74</v>
      </c>
    </row>
    <row r="6" spans="3:17" x14ac:dyDescent="0.2">
      <c r="C6" t="s">
        <v>1228</v>
      </c>
      <c r="D6" t="s">
        <v>1233</v>
      </c>
      <c r="E6">
        <v>87</v>
      </c>
      <c r="F6" s="2">
        <v>33.461538461538403</v>
      </c>
      <c r="G6" s="2">
        <v>1.0448066833676899E-66</v>
      </c>
      <c r="H6" t="s">
        <v>1295</v>
      </c>
      <c r="I6">
        <v>260</v>
      </c>
      <c r="J6">
        <v>406</v>
      </c>
      <c r="K6">
        <v>13273</v>
      </c>
      <c r="L6" s="2">
        <v>10.939285714285701</v>
      </c>
      <c r="M6" s="2">
        <v>6.0598787635326197E-65</v>
      </c>
      <c r="N6" s="2">
        <v>2.0199595878441998E-65</v>
      </c>
      <c r="O6" s="2">
        <v>9.4032601503092501E-66</v>
      </c>
      <c r="Q6" s="1">
        <f>141/17360*100</f>
        <v>0.81221198156682017</v>
      </c>
    </row>
    <row r="7" spans="3:17" x14ac:dyDescent="0.2">
      <c r="C7" t="s">
        <v>1228</v>
      </c>
      <c r="D7" t="s">
        <v>1237</v>
      </c>
      <c r="E7">
        <v>79</v>
      </c>
      <c r="F7" s="2">
        <v>30.384615384615302</v>
      </c>
      <c r="G7" s="2">
        <v>2.4940034495165899E-62</v>
      </c>
      <c r="H7" t="s">
        <v>1296</v>
      </c>
      <c r="I7">
        <v>260</v>
      </c>
      <c r="J7">
        <v>346</v>
      </c>
      <c r="K7">
        <v>13273</v>
      </c>
      <c r="L7" s="2">
        <v>11.6559248554913</v>
      </c>
      <c r="M7" s="2">
        <v>1.4465220007196199E-60</v>
      </c>
      <c r="N7" s="2">
        <v>3.6163050017990602E-61</v>
      </c>
      <c r="O7" s="2">
        <v>1.6834523284237E-61</v>
      </c>
      <c r="Q7" s="1">
        <f>129/18045*100</f>
        <v>0.71487946799667501</v>
      </c>
    </row>
    <row r="8" spans="3:17" x14ac:dyDescent="0.2">
      <c r="C8" t="s">
        <v>1228</v>
      </c>
      <c r="D8" t="s">
        <v>1235</v>
      </c>
      <c r="E8">
        <v>65</v>
      </c>
      <c r="F8" s="2">
        <v>25</v>
      </c>
      <c r="G8" s="2">
        <v>3.3253019303103698E-55</v>
      </c>
      <c r="H8" t="s">
        <v>1297</v>
      </c>
      <c r="I8">
        <v>260</v>
      </c>
      <c r="J8">
        <v>244</v>
      </c>
      <c r="K8">
        <v>13273</v>
      </c>
      <c r="L8" s="2">
        <v>13.599385245901599</v>
      </c>
      <c r="M8" s="2">
        <v>1.9286751195800099E-53</v>
      </c>
      <c r="N8" s="2">
        <v>3.8573502391600299E-54</v>
      </c>
      <c r="O8" s="2">
        <v>1.7956630423675999E-54</v>
      </c>
    </row>
    <row r="9" spans="3:17" x14ac:dyDescent="0.2">
      <c r="C9" t="s">
        <v>1228</v>
      </c>
      <c r="D9" t="s">
        <v>1249</v>
      </c>
      <c r="E9">
        <v>64</v>
      </c>
      <c r="F9" s="2">
        <v>24.615384615384599</v>
      </c>
      <c r="G9" s="2">
        <v>1.1640495855767301E-33</v>
      </c>
      <c r="H9" t="s">
        <v>1300</v>
      </c>
      <c r="I9">
        <v>260</v>
      </c>
      <c r="J9">
        <v>504</v>
      </c>
      <c r="K9">
        <v>13273</v>
      </c>
      <c r="L9" s="2">
        <v>6.4825396825396799</v>
      </c>
      <c r="M9" s="2">
        <v>6.75148759634505E-32</v>
      </c>
      <c r="N9" s="2">
        <v>8.4393594954313194E-33</v>
      </c>
      <c r="O9" s="2">
        <v>3.92866735132147E-33</v>
      </c>
    </row>
    <row r="10" spans="3:17" x14ac:dyDescent="0.2">
      <c r="C10" t="s">
        <v>1228</v>
      </c>
      <c r="D10" t="s">
        <v>1239</v>
      </c>
      <c r="E10">
        <v>59</v>
      </c>
      <c r="F10" s="2">
        <v>22.692307692307601</v>
      </c>
      <c r="G10" s="2">
        <v>3.9285465389919098E-52</v>
      </c>
      <c r="H10" t="s">
        <v>1298</v>
      </c>
      <c r="I10">
        <v>260</v>
      </c>
      <c r="J10">
        <v>204</v>
      </c>
      <c r="K10">
        <v>13273</v>
      </c>
      <c r="L10" s="2">
        <v>14.7644607843137</v>
      </c>
      <c r="M10" s="2">
        <v>2.2785569926153102E-50</v>
      </c>
      <c r="N10" s="2">
        <v>3.7975949876921799E-51</v>
      </c>
      <c r="O10" s="2">
        <v>1.76784594254636E-51</v>
      </c>
      <c r="Q10" s="1">
        <f>158/22584*100</f>
        <v>0.69961034360609275</v>
      </c>
    </row>
    <row r="11" spans="3:17" x14ac:dyDescent="0.2">
      <c r="C11" t="s">
        <v>1228</v>
      </c>
      <c r="D11" t="s">
        <v>1241</v>
      </c>
      <c r="E11">
        <v>58</v>
      </c>
      <c r="F11" s="2">
        <v>22.307692307692299</v>
      </c>
      <c r="G11" s="2">
        <v>4.5237554709762702E-32</v>
      </c>
      <c r="H11" t="s">
        <v>1302</v>
      </c>
      <c r="I11">
        <v>260</v>
      </c>
      <c r="J11">
        <v>424</v>
      </c>
      <c r="K11">
        <v>13273</v>
      </c>
      <c r="L11" s="2">
        <v>6.9832547169811301</v>
      </c>
      <c r="M11" s="2">
        <v>2.6237781731662298E-30</v>
      </c>
      <c r="N11" s="2">
        <v>2.6237781731662298E-31</v>
      </c>
      <c r="O11" s="2">
        <v>1.22141397716359E-31</v>
      </c>
      <c r="Q11" s="1">
        <f>137/20017*100</f>
        <v>0.68441824449218158</v>
      </c>
    </row>
    <row r="12" spans="3:17" x14ac:dyDescent="0.2">
      <c r="C12" t="s">
        <v>1228</v>
      </c>
      <c r="D12" t="s">
        <v>1259</v>
      </c>
      <c r="E12">
        <v>54</v>
      </c>
      <c r="F12" s="2">
        <v>20.769230769230699</v>
      </c>
      <c r="G12" s="2">
        <v>5.5574055165733297E-17</v>
      </c>
      <c r="H12" t="s">
        <v>1309</v>
      </c>
      <c r="I12">
        <v>260</v>
      </c>
      <c r="J12">
        <v>740</v>
      </c>
      <c r="K12">
        <v>13273</v>
      </c>
      <c r="L12" s="2">
        <v>3.7252702702702698</v>
      </c>
      <c r="M12" s="2">
        <v>6.4392935428259E-15</v>
      </c>
      <c r="N12" s="2">
        <v>1.89605599977208E-16</v>
      </c>
      <c r="O12" s="2">
        <v>8.8264675851458904E-17</v>
      </c>
    </row>
    <row r="13" spans="3:17" x14ac:dyDescent="0.2">
      <c r="C13" t="s">
        <v>1228</v>
      </c>
      <c r="D13" t="s">
        <v>1253</v>
      </c>
      <c r="E13">
        <v>52</v>
      </c>
      <c r="F13" s="2">
        <v>20</v>
      </c>
      <c r="G13" s="2">
        <v>4.0342109645507302E-28</v>
      </c>
      <c r="H13" t="s">
        <v>1305</v>
      </c>
      <c r="I13">
        <v>260</v>
      </c>
      <c r="J13">
        <v>389</v>
      </c>
      <c r="K13">
        <v>13273</v>
      </c>
      <c r="L13" s="2">
        <v>6.8241645244215903</v>
      </c>
      <c r="M13" s="2">
        <v>2.3398423594394201E-26</v>
      </c>
      <c r="N13" s="2">
        <v>1.79987873803032E-27</v>
      </c>
      <c r="O13" s="2">
        <v>8.3787458494515195E-28</v>
      </c>
    </row>
    <row r="14" spans="3:17" x14ac:dyDescent="0.2">
      <c r="C14" t="s">
        <v>1228</v>
      </c>
      <c r="D14" t="s">
        <v>1257</v>
      </c>
      <c r="E14">
        <v>52</v>
      </c>
      <c r="F14" s="2">
        <v>20</v>
      </c>
      <c r="G14" s="2">
        <v>6.6896101394013303E-21</v>
      </c>
      <c r="H14" t="s">
        <v>1307</v>
      </c>
      <c r="I14">
        <v>260</v>
      </c>
      <c r="J14">
        <v>557</v>
      </c>
      <c r="K14">
        <v>13273</v>
      </c>
      <c r="L14" s="2">
        <v>4.7658886894075403</v>
      </c>
      <c r="M14" s="2">
        <v>3.8799738808527702E-19</v>
      </c>
      <c r="N14" s="2">
        <v>2.58664925390184E-20</v>
      </c>
      <c r="O14" s="2">
        <v>1.2041298250922399E-20</v>
      </c>
    </row>
    <row r="15" spans="3:17" x14ac:dyDescent="0.2">
      <c r="C15" t="s">
        <v>1228</v>
      </c>
      <c r="D15" t="s">
        <v>1251</v>
      </c>
      <c r="E15">
        <v>50</v>
      </c>
      <c r="F15" s="2">
        <v>19.230769230769202</v>
      </c>
      <c r="G15" s="2">
        <v>1.4078988227947799E-28</v>
      </c>
      <c r="H15" t="s">
        <v>1304</v>
      </c>
      <c r="I15">
        <v>260</v>
      </c>
      <c r="J15">
        <v>346</v>
      </c>
      <c r="K15">
        <v>13273</v>
      </c>
      <c r="L15" s="2">
        <v>7.3771676300577997</v>
      </c>
      <c r="M15" s="2">
        <v>8.1658131722097194E-27</v>
      </c>
      <c r="N15" s="2">
        <v>6.8048443101747703E-28</v>
      </c>
      <c r="O15" s="2">
        <v>3.1677723512882498E-28</v>
      </c>
    </row>
    <row r="16" spans="3:17" x14ac:dyDescent="0.2">
      <c r="C16" t="s">
        <v>1228</v>
      </c>
      <c r="D16" t="s">
        <v>1247</v>
      </c>
      <c r="E16">
        <v>48</v>
      </c>
      <c r="F16" s="2">
        <v>18.4615384615384</v>
      </c>
      <c r="G16" s="2">
        <v>7.5518693195877404E-32</v>
      </c>
      <c r="H16" t="s">
        <v>1303</v>
      </c>
      <c r="I16">
        <v>260</v>
      </c>
      <c r="J16">
        <v>266</v>
      </c>
      <c r="K16">
        <v>13273</v>
      </c>
      <c r="L16" s="2">
        <v>9.21203007518797</v>
      </c>
      <c r="M16" s="2">
        <v>4.3800842053608802E-30</v>
      </c>
      <c r="N16" s="2">
        <v>3.9818947321462604E-31</v>
      </c>
      <c r="O16" s="2">
        <v>1.8536406511715301E-31</v>
      </c>
    </row>
    <row r="17" spans="3:15" x14ac:dyDescent="0.2">
      <c r="C17" t="s">
        <v>1228</v>
      </c>
      <c r="D17" t="s">
        <v>1243</v>
      </c>
      <c r="E17">
        <v>44</v>
      </c>
      <c r="F17" s="2">
        <v>16.923076923076898</v>
      </c>
      <c r="G17" s="2">
        <v>4.26789194152473E-33</v>
      </c>
      <c r="H17" t="s">
        <v>1301</v>
      </c>
      <c r="I17">
        <v>260</v>
      </c>
      <c r="J17">
        <v>198</v>
      </c>
      <c r="K17">
        <v>13273</v>
      </c>
      <c r="L17" s="2">
        <v>11.344444444444401</v>
      </c>
      <c r="M17" s="2">
        <v>2.4753773260843398E-31</v>
      </c>
      <c r="N17" s="2">
        <v>2.7504192512048301E-32</v>
      </c>
      <c r="O17" s="2">
        <v>1.28036758245742E-32</v>
      </c>
    </row>
    <row r="18" spans="3:15" x14ac:dyDescent="0.2">
      <c r="C18" t="s">
        <v>1228</v>
      </c>
      <c r="D18" t="s">
        <v>1265</v>
      </c>
      <c r="E18">
        <v>42</v>
      </c>
      <c r="F18" s="2">
        <v>16.1538461538461</v>
      </c>
      <c r="G18" s="2">
        <v>2.4142574210734399E-12</v>
      </c>
      <c r="H18" t="s">
        <v>1311</v>
      </c>
      <c r="I18">
        <v>260</v>
      </c>
      <c r="J18">
        <v>606</v>
      </c>
      <c r="K18">
        <v>13273</v>
      </c>
      <c r="L18" s="2">
        <v>3.5381188118811799</v>
      </c>
      <c r="M18" s="2">
        <v>1.4002887738229199E-10</v>
      </c>
      <c r="N18" s="2">
        <v>7.3698384432768294E-12</v>
      </c>
      <c r="O18" s="2">
        <v>3.4307868615254201E-12</v>
      </c>
    </row>
    <row r="19" spans="3:15" x14ac:dyDescent="0.2">
      <c r="C19" t="s">
        <v>1228</v>
      </c>
      <c r="D19" t="s">
        <v>1245</v>
      </c>
      <c r="E19">
        <v>41</v>
      </c>
      <c r="F19" s="2">
        <v>15.769230769230701</v>
      </c>
      <c r="G19" s="2">
        <v>1.69396484621335E-34</v>
      </c>
      <c r="H19" t="s">
        <v>1299</v>
      </c>
      <c r="I19">
        <v>260</v>
      </c>
      <c r="J19">
        <v>151</v>
      </c>
      <c r="K19">
        <v>13273</v>
      </c>
      <c r="L19" s="2">
        <v>13.8612582781456</v>
      </c>
      <c r="M19" s="2">
        <v>9.8249961080374405E-33</v>
      </c>
      <c r="N19" s="2">
        <v>1.40357087257677E-33</v>
      </c>
      <c r="O19" s="2">
        <v>6.5338644068229302E-34</v>
      </c>
    </row>
    <row r="20" spans="3:15" x14ac:dyDescent="0.2">
      <c r="C20" t="s">
        <v>1228</v>
      </c>
      <c r="D20" t="s">
        <v>1274</v>
      </c>
      <c r="E20">
        <v>40</v>
      </c>
      <c r="F20" s="2">
        <v>15.3846153846153</v>
      </c>
      <c r="G20" s="2">
        <v>1.8958173922213198E-8</v>
      </c>
      <c r="H20" t="s">
        <v>1314</v>
      </c>
      <c r="I20">
        <v>260</v>
      </c>
      <c r="J20">
        <v>751</v>
      </c>
      <c r="K20">
        <v>13273</v>
      </c>
      <c r="L20" s="2">
        <v>2.7190412782956002</v>
      </c>
      <c r="M20" s="2">
        <v>1.09957349325728E-6</v>
      </c>
      <c r="N20" s="2">
        <v>4.7807569021233401E-8</v>
      </c>
      <c r="O20" s="2">
        <v>2.2255247647815499E-8</v>
      </c>
    </row>
    <row r="21" spans="3:15" x14ac:dyDescent="0.2">
      <c r="C21" t="s">
        <v>1228</v>
      </c>
      <c r="D21" t="s">
        <v>1255</v>
      </c>
      <c r="E21">
        <v>37</v>
      </c>
      <c r="F21" s="2">
        <v>14.2307692307692</v>
      </c>
      <c r="G21" s="2">
        <v>5.1742240470754698E-23</v>
      </c>
      <c r="H21" t="s">
        <v>1306</v>
      </c>
      <c r="I21">
        <v>260</v>
      </c>
      <c r="J21">
        <v>224</v>
      </c>
      <c r="K21">
        <v>13273</v>
      </c>
      <c r="L21" s="2">
        <v>8.4323660714285698</v>
      </c>
      <c r="M21" s="2">
        <v>3.0010499473037699E-21</v>
      </c>
      <c r="N21" s="2">
        <v>2.1436071052169802E-22</v>
      </c>
      <c r="O21" s="2">
        <v>9.9788606622169795E-23</v>
      </c>
    </row>
    <row r="22" spans="3:15" x14ac:dyDescent="0.2">
      <c r="C22" t="s">
        <v>1228</v>
      </c>
      <c r="D22" t="s">
        <v>1263</v>
      </c>
      <c r="E22">
        <v>37</v>
      </c>
      <c r="F22" s="2">
        <v>14.2307692307692</v>
      </c>
      <c r="G22" s="2">
        <v>1.1652291384922501E-16</v>
      </c>
      <c r="H22" t="s">
        <v>1310</v>
      </c>
      <c r="I22">
        <v>260</v>
      </c>
      <c r="J22">
        <v>346</v>
      </c>
      <c r="K22">
        <v>13273</v>
      </c>
      <c r="L22" s="2">
        <v>5.4591040462427696</v>
      </c>
      <c r="M22" s="2">
        <v>6.4392935428259E-15</v>
      </c>
      <c r="N22" s="2">
        <v>3.7546272240306102E-16</v>
      </c>
      <c r="O22" s="2">
        <v>1.7478437077383799E-16</v>
      </c>
    </row>
    <row r="23" spans="3:15" x14ac:dyDescent="0.2">
      <c r="C23" t="s">
        <v>1228</v>
      </c>
      <c r="D23" t="s">
        <v>1261</v>
      </c>
      <c r="E23">
        <v>31</v>
      </c>
      <c r="F23" s="2">
        <v>11.9230769230769</v>
      </c>
      <c r="G23" s="2">
        <v>7.4718560498550806E-20</v>
      </c>
      <c r="H23" t="s">
        <v>1308</v>
      </c>
      <c r="I23">
        <v>260</v>
      </c>
      <c r="J23">
        <v>179</v>
      </c>
      <c r="K23">
        <v>13273</v>
      </c>
      <c r="L23" s="2">
        <v>8.8410614525139604</v>
      </c>
      <c r="M23" s="2">
        <v>4.3336765089159404E-18</v>
      </c>
      <c r="N23" s="2">
        <v>2.7085478180724598E-19</v>
      </c>
      <c r="O23" s="2">
        <v>1.2608757084130399E-19</v>
      </c>
    </row>
    <row r="24" spans="3:15" x14ac:dyDescent="0.2">
      <c r="C24" t="s">
        <v>1228</v>
      </c>
      <c r="D24" t="s">
        <v>1267</v>
      </c>
      <c r="E24">
        <v>25</v>
      </c>
      <c r="F24" s="2">
        <v>9.6153846153846096</v>
      </c>
      <c r="G24" s="2">
        <v>5.7931720368294897E-12</v>
      </c>
      <c r="H24" t="s">
        <v>1312</v>
      </c>
      <c r="I24">
        <v>260</v>
      </c>
      <c r="J24">
        <v>217</v>
      </c>
      <c r="K24">
        <v>13273</v>
      </c>
      <c r="L24" s="2">
        <v>5.8813364055299502</v>
      </c>
      <c r="M24" s="2">
        <v>3.36002337064655E-10</v>
      </c>
      <c r="N24" s="2">
        <v>1.68001989068055E-11</v>
      </c>
      <c r="O24" s="2">
        <v>7.8207822497198194E-12</v>
      </c>
    </row>
    <row r="25" spans="3:15" x14ac:dyDescent="0.2">
      <c r="C25" t="s">
        <v>1228</v>
      </c>
      <c r="D25" t="s">
        <v>1269</v>
      </c>
      <c r="E25">
        <v>25</v>
      </c>
      <c r="F25" s="2">
        <v>9.6153846153846096</v>
      </c>
      <c r="G25" s="2">
        <v>1.8403125758885101E-11</v>
      </c>
      <c r="H25" t="s">
        <v>1312</v>
      </c>
      <c r="I25">
        <v>260</v>
      </c>
      <c r="J25">
        <v>229</v>
      </c>
      <c r="K25">
        <v>13273</v>
      </c>
      <c r="L25" s="2">
        <v>5.5731441048034904</v>
      </c>
      <c r="M25" s="2">
        <v>1.0673837369523599E-9</v>
      </c>
      <c r="N25" s="2">
        <v>5.0827680667397202E-11</v>
      </c>
      <c r="O25" s="2">
        <v>2.3661161689995199E-11</v>
      </c>
    </row>
    <row r="26" spans="3:15" x14ac:dyDescent="0.2">
      <c r="C26" t="s">
        <v>1228</v>
      </c>
      <c r="D26" t="s">
        <v>1270</v>
      </c>
      <c r="E26">
        <v>22</v>
      </c>
      <c r="F26" s="2">
        <v>8.4615384615384599</v>
      </c>
      <c r="G26" s="2">
        <v>4.9509756853494496E-10</v>
      </c>
      <c r="H26" t="s">
        <v>1313</v>
      </c>
      <c r="I26">
        <v>260</v>
      </c>
      <c r="J26">
        <v>204</v>
      </c>
      <c r="K26">
        <v>13273</v>
      </c>
      <c r="L26" s="2">
        <v>5.5053921568627402</v>
      </c>
      <c r="M26" s="2">
        <v>2.87156556311174E-8</v>
      </c>
      <c r="N26" s="2">
        <v>1.30525722613758E-9</v>
      </c>
      <c r="O26" s="2">
        <v>6.0761974320197799E-10</v>
      </c>
    </row>
    <row r="27" spans="3:15" x14ac:dyDescent="0.2">
      <c r="C27" t="s">
        <v>1228</v>
      </c>
      <c r="D27" t="s">
        <v>1272</v>
      </c>
      <c r="E27">
        <v>19</v>
      </c>
      <c r="F27" s="2">
        <v>7.3076923076923004</v>
      </c>
      <c r="G27" s="2">
        <v>1.4248417809614399E-7</v>
      </c>
      <c r="H27" t="s">
        <v>1315</v>
      </c>
      <c r="I27">
        <v>260</v>
      </c>
      <c r="J27">
        <v>209</v>
      </c>
      <c r="K27">
        <v>13273</v>
      </c>
      <c r="L27" s="2">
        <v>4.6409090909090898</v>
      </c>
      <c r="M27" s="2">
        <v>8.2640487724106004E-6</v>
      </c>
      <c r="N27" s="2">
        <v>3.4433676373234901E-7</v>
      </c>
      <c r="O27" s="2">
        <v>1.60294700358162E-7</v>
      </c>
    </row>
    <row r="28" spans="3:15" x14ac:dyDescent="0.2">
      <c r="C28" t="s">
        <v>1228</v>
      </c>
      <c r="D28" t="s">
        <v>1276</v>
      </c>
      <c r="E28">
        <v>19</v>
      </c>
      <c r="F28" s="2">
        <v>7.3076923076923004</v>
      </c>
      <c r="G28" s="2">
        <v>3.2103581559910703E-5</v>
      </c>
      <c r="H28" t="s">
        <v>1316</v>
      </c>
      <c r="I28">
        <v>260</v>
      </c>
      <c r="J28">
        <v>306</v>
      </c>
      <c r="K28">
        <v>13273</v>
      </c>
      <c r="L28" s="2">
        <v>3.1697712418300599</v>
      </c>
      <c r="M28" s="2">
        <v>1.86030510312873E-3</v>
      </c>
      <c r="N28" s="2">
        <v>7.1615681941339198E-5</v>
      </c>
      <c r="O28" s="2">
        <v>3.3338334696830301E-5</v>
      </c>
    </row>
    <row r="29" spans="3:15" x14ac:dyDescent="0.2">
      <c r="C29" t="s">
        <v>1228</v>
      </c>
      <c r="D29" t="s">
        <v>1282</v>
      </c>
      <c r="E29">
        <v>17</v>
      </c>
      <c r="F29" s="2">
        <v>6.5384615384615303</v>
      </c>
      <c r="G29" s="2">
        <v>2.78960359607858E-5</v>
      </c>
      <c r="H29" t="s">
        <v>1283</v>
      </c>
      <c r="I29">
        <v>260</v>
      </c>
      <c r="J29">
        <v>247</v>
      </c>
      <c r="K29">
        <v>13273</v>
      </c>
      <c r="L29" s="2">
        <v>3.51356275303643</v>
      </c>
      <c r="M29" s="2">
        <v>1.61668440917794E-3</v>
      </c>
      <c r="N29" s="2">
        <v>6.4718803429023099E-5</v>
      </c>
      <c r="O29" s="2">
        <v>3.0127718837648699E-5</v>
      </c>
    </row>
    <row r="30" spans="3:15" x14ac:dyDescent="0.2">
      <c r="C30" t="s">
        <v>1228</v>
      </c>
      <c r="D30" t="s">
        <v>1278</v>
      </c>
      <c r="E30">
        <v>17</v>
      </c>
      <c r="F30" s="2">
        <v>6.5384615384615303</v>
      </c>
      <c r="G30" s="2">
        <v>1.05084193255479E-4</v>
      </c>
      <c r="H30" t="s">
        <v>1317</v>
      </c>
      <c r="I30">
        <v>260</v>
      </c>
      <c r="J30">
        <v>276</v>
      </c>
      <c r="K30">
        <v>13273</v>
      </c>
      <c r="L30" s="2">
        <v>3.1443840579710098</v>
      </c>
      <c r="M30" s="2">
        <v>6.0766654000901001E-3</v>
      </c>
      <c r="N30" s="2">
        <v>2.257364151414E-4</v>
      </c>
      <c r="O30" s="2">
        <v>1.05084193255479E-4</v>
      </c>
    </row>
    <row r="31" spans="3:15" x14ac:dyDescent="0.2">
      <c r="C31" t="s">
        <v>1228</v>
      </c>
      <c r="D31" t="s">
        <v>1286</v>
      </c>
      <c r="E31">
        <v>17</v>
      </c>
      <c r="F31" s="2">
        <v>6.5384615384615303</v>
      </c>
      <c r="G31" s="2">
        <v>3.9338831562867098E-4</v>
      </c>
      <c r="H31" t="s">
        <v>1283</v>
      </c>
      <c r="I31">
        <v>260</v>
      </c>
      <c r="J31">
        <v>310</v>
      </c>
      <c r="K31">
        <v>13273</v>
      </c>
      <c r="L31" s="2">
        <v>2.7995161290322499</v>
      </c>
      <c r="M31" s="2">
        <v>2.2562581689071701E-2</v>
      </c>
      <c r="N31" s="2">
        <v>8.1487579665938999E-4</v>
      </c>
      <c r="O31" s="2">
        <v>3.9338831562867098E-4</v>
      </c>
    </row>
    <row r="32" spans="3:15" x14ac:dyDescent="0.2">
      <c r="C32" t="s">
        <v>1228</v>
      </c>
      <c r="D32" t="s">
        <v>1287</v>
      </c>
      <c r="E32">
        <v>16</v>
      </c>
      <c r="F32" s="2">
        <v>6.1538461538461497</v>
      </c>
      <c r="G32" s="2">
        <v>3.3827851689347799E-3</v>
      </c>
      <c r="H32" t="s">
        <v>1320</v>
      </c>
      <c r="I32">
        <v>260</v>
      </c>
      <c r="J32">
        <v>347</v>
      </c>
      <c r="K32">
        <v>13273</v>
      </c>
      <c r="L32" s="2">
        <v>2.3538904899135402</v>
      </c>
      <c r="M32" s="2">
        <v>0.17842672092012199</v>
      </c>
      <c r="N32" s="2">
        <v>6.3290819289747498E-3</v>
      </c>
      <c r="O32" s="2">
        <v>3.3827851689347799E-3</v>
      </c>
    </row>
    <row r="33" spans="3:15" x14ac:dyDescent="0.2">
      <c r="C33" t="s">
        <v>1228</v>
      </c>
      <c r="D33" t="s">
        <v>1284</v>
      </c>
      <c r="E33">
        <v>15</v>
      </c>
      <c r="F33" s="2">
        <v>5.7692307692307603</v>
      </c>
      <c r="G33" s="2">
        <v>1.06418392613023E-3</v>
      </c>
      <c r="H33" t="s">
        <v>1318</v>
      </c>
      <c r="I33">
        <v>260</v>
      </c>
      <c r="J33">
        <v>276</v>
      </c>
      <c r="K33">
        <v>13273</v>
      </c>
      <c r="L33" s="2">
        <v>2.7744565217391299</v>
      </c>
      <c r="M33" s="2">
        <v>5.98873149307909E-2</v>
      </c>
      <c r="N33" s="2">
        <v>2.1283678522604601E-3</v>
      </c>
      <c r="O33" s="2">
        <v>1.06418392613023E-3</v>
      </c>
    </row>
    <row r="34" spans="3:15" x14ac:dyDescent="0.2">
      <c r="C34" t="s">
        <v>1228</v>
      </c>
      <c r="D34" t="s">
        <v>1280</v>
      </c>
      <c r="E34">
        <v>14</v>
      </c>
      <c r="F34" s="2">
        <v>5.3846153846153797</v>
      </c>
      <c r="G34" s="2">
        <v>1.46822882544565E-3</v>
      </c>
      <c r="H34" t="s">
        <v>1319</v>
      </c>
      <c r="I34">
        <v>260</v>
      </c>
      <c r="J34">
        <v>254</v>
      </c>
      <c r="K34">
        <v>13273</v>
      </c>
      <c r="L34" s="2">
        <v>2.81377952755905</v>
      </c>
      <c r="M34" s="2">
        <v>8.1689626780844501E-2</v>
      </c>
      <c r="N34" s="2">
        <v>2.83857572919493E-3</v>
      </c>
      <c r="O34" s="2">
        <v>1.46822882544565E-3</v>
      </c>
    </row>
    <row r="35" spans="3:15" x14ac:dyDescent="0.2">
      <c r="C35" t="s">
        <v>1228</v>
      </c>
      <c r="D35" t="s">
        <v>1291</v>
      </c>
      <c r="E35">
        <v>8</v>
      </c>
      <c r="F35" s="2">
        <v>3.07692307692307</v>
      </c>
      <c r="G35" s="2">
        <v>4.4264927313546899E-2</v>
      </c>
      <c r="H35" t="s">
        <v>1322</v>
      </c>
      <c r="I35">
        <v>260</v>
      </c>
      <c r="J35">
        <v>166</v>
      </c>
      <c r="K35">
        <v>13273</v>
      </c>
      <c r="L35" s="2">
        <v>2.4602409638554201</v>
      </c>
      <c r="M35" s="2">
        <v>0.92762703402698399</v>
      </c>
      <c r="N35" s="2">
        <v>7.7798963157143103E-2</v>
      </c>
      <c r="O35" s="2">
        <v>4.4264927313546899E-2</v>
      </c>
    </row>
    <row r="36" spans="3:15" x14ac:dyDescent="0.2">
      <c r="C36" t="s">
        <v>1228</v>
      </c>
      <c r="D36" t="s">
        <v>1289</v>
      </c>
      <c r="E36">
        <v>5</v>
      </c>
      <c r="F36" s="2">
        <v>1.92307692307692</v>
      </c>
      <c r="G36" s="2">
        <v>3.10647875113929E-2</v>
      </c>
      <c r="H36" t="s">
        <v>1321</v>
      </c>
      <c r="I36">
        <v>260</v>
      </c>
      <c r="J36">
        <v>61</v>
      </c>
      <c r="K36">
        <v>13273</v>
      </c>
      <c r="L36" s="2">
        <v>4.1844262295081904</v>
      </c>
      <c r="M36" s="2">
        <v>0.83964043617772199</v>
      </c>
      <c r="N36" s="2">
        <v>5.6304927364399703E-2</v>
      </c>
      <c r="O36" s="2">
        <v>3.10647875113929E-2</v>
      </c>
    </row>
  </sheetData>
  <sortState xmlns:xlrd2="http://schemas.microsoft.com/office/spreadsheetml/2017/richdata2" ref="C4:O36">
    <sortCondition descending="1" ref="E4:E36"/>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A4FA2-6F92-4262-96BB-269F83C98519}">
  <dimension ref="B1:U836"/>
  <sheetViews>
    <sheetView zoomScale="66" zoomScaleNormal="66" workbookViewId="0">
      <selection activeCell="P12" sqref="P12"/>
    </sheetView>
  </sheetViews>
  <sheetFormatPr defaultRowHeight="14.25" x14ac:dyDescent="0.2"/>
  <cols>
    <col min="2" max="2" width="20.875" bestFit="1" customWidth="1"/>
    <col min="3" max="3" width="43.125" bestFit="1" customWidth="1"/>
    <col min="4" max="4" width="20.125" customWidth="1"/>
    <col min="5" max="5" width="21.875" customWidth="1"/>
    <col min="6" max="6" width="12.875" customWidth="1"/>
    <col min="11" max="11" width="20.875" bestFit="1" customWidth="1"/>
    <col min="13" max="13" width="20.875" bestFit="1" customWidth="1"/>
    <col min="17" max="18" width="20.875" bestFit="1" customWidth="1"/>
    <col min="19" max="19" width="23.75" customWidth="1"/>
    <col min="20" max="20" width="29.375" customWidth="1"/>
  </cols>
  <sheetData>
    <row r="1" spans="2:21" x14ac:dyDescent="0.2">
      <c r="D1" t="s">
        <v>1930</v>
      </c>
    </row>
    <row r="2" spans="2:21" x14ac:dyDescent="0.2">
      <c r="B2" t="s">
        <v>1930</v>
      </c>
      <c r="D2" t="s">
        <v>1641</v>
      </c>
      <c r="E2" t="s">
        <v>1642</v>
      </c>
      <c r="F2" t="s">
        <v>1643</v>
      </c>
      <c r="G2" t="s">
        <v>1644</v>
      </c>
      <c r="H2" t="s">
        <v>1645</v>
      </c>
      <c r="K2" t="s">
        <v>1929</v>
      </c>
      <c r="M2" t="s">
        <v>1640</v>
      </c>
      <c r="Q2" t="s">
        <v>1640</v>
      </c>
    </row>
    <row r="3" spans="2:21" x14ac:dyDescent="0.2">
      <c r="B3" t="s">
        <v>4</v>
      </c>
      <c r="C3" t="s">
        <v>1332</v>
      </c>
      <c r="D3" t="s">
        <v>4</v>
      </c>
      <c r="E3" t="s">
        <v>4</v>
      </c>
      <c r="F3" t="s">
        <v>1805</v>
      </c>
      <c r="G3" t="s">
        <v>1646</v>
      </c>
      <c r="H3" t="s">
        <v>1647</v>
      </c>
      <c r="K3" t="s">
        <v>4</v>
      </c>
      <c r="M3" t="s">
        <v>7</v>
      </c>
      <c r="Q3" t="s">
        <v>1641</v>
      </c>
      <c r="R3" t="s">
        <v>1642</v>
      </c>
      <c r="S3" t="s">
        <v>1643</v>
      </c>
      <c r="T3" t="s">
        <v>1644</v>
      </c>
      <c r="U3" t="s">
        <v>1645</v>
      </c>
    </row>
    <row r="4" spans="2:21" x14ac:dyDescent="0.2">
      <c r="B4" t="s">
        <v>7</v>
      </c>
      <c r="C4" t="s">
        <v>1333</v>
      </c>
      <c r="D4" t="s">
        <v>7</v>
      </c>
      <c r="E4" t="s">
        <v>7</v>
      </c>
      <c r="F4" t="s">
        <v>7</v>
      </c>
      <c r="G4" t="s">
        <v>1646</v>
      </c>
      <c r="H4" t="s">
        <v>1647</v>
      </c>
      <c r="K4" t="s">
        <v>7</v>
      </c>
      <c r="M4" t="s">
        <v>11</v>
      </c>
      <c r="Q4" t="s">
        <v>7</v>
      </c>
      <c r="R4" t="s">
        <v>7</v>
      </c>
      <c r="S4" t="s">
        <v>7</v>
      </c>
      <c r="T4" t="s">
        <v>1646</v>
      </c>
      <c r="U4" t="s">
        <v>1647</v>
      </c>
    </row>
    <row r="5" spans="2:21" x14ac:dyDescent="0.2">
      <c r="B5" t="s">
        <v>9</v>
      </c>
      <c r="C5" t="s">
        <v>1334</v>
      </c>
      <c r="D5" t="s">
        <v>9</v>
      </c>
      <c r="E5" t="s">
        <v>9</v>
      </c>
      <c r="F5" t="s">
        <v>1775</v>
      </c>
      <c r="G5" t="s">
        <v>1776</v>
      </c>
      <c r="H5" t="s">
        <v>1647</v>
      </c>
      <c r="K5" t="s">
        <v>9</v>
      </c>
      <c r="M5" t="s">
        <v>13</v>
      </c>
      <c r="Q5" t="s">
        <v>11</v>
      </c>
      <c r="R5" t="s">
        <v>11</v>
      </c>
      <c r="S5" t="s">
        <v>1648</v>
      </c>
      <c r="T5" t="s">
        <v>1649</v>
      </c>
      <c r="U5" t="s">
        <v>1647</v>
      </c>
    </row>
    <row r="6" spans="2:21" x14ac:dyDescent="0.2">
      <c r="B6" t="s">
        <v>11</v>
      </c>
      <c r="C6" t="s">
        <v>1335</v>
      </c>
      <c r="D6" t="s">
        <v>11</v>
      </c>
      <c r="E6" t="s">
        <v>11</v>
      </c>
      <c r="F6" t="s">
        <v>1648</v>
      </c>
      <c r="G6" t="s">
        <v>1649</v>
      </c>
      <c r="H6" t="s">
        <v>1647</v>
      </c>
      <c r="K6" t="s">
        <v>11</v>
      </c>
      <c r="M6" t="s">
        <v>15</v>
      </c>
      <c r="Q6" t="s">
        <v>13</v>
      </c>
      <c r="R6" t="s">
        <v>13</v>
      </c>
      <c r="S6" t="s">
        <v>13</v>
      </c>
      <c r="T6" t="s">
        <v>1646</v>
      </c>
      <c r="U6" t="s">
        <v>1647</v>
      </c>
    </row>
    <row r="7" spans="2:21" x14ac:dyDescent="0.2">
      <c r="B7" t="s">
        <v>13</v>
      </c>
      <c r="C7" t="s">
        <v>1336</v>
      </c>
      <c r="D7" t="s">
        <v>13</v>
      </c>
      <c r="E7" t="s">
        <v>13</v>
      </c>
      <c r="F7" t="s">
        <v>13</v>
      </c>
      <c r="G7" t="s">
        <v>1646</v>
      </c>
      <c r="H7" t="s">
        <v>1647</v>
      </c>
      <c r="K7" t="s">
        <v>13</v>
      </c>
      <c r="M7" t="s">
        <v>19</v>
      </c>
      <c r="Q7" t="s">
        <v>15</v>
      </c>
      <c r="R7" t="s">
        <v>15</v>
      </c>
      <c r="S7" t="s">
        <v>1650</v>
      </c>
      <c r="T7" t="s">
        <v>1651</v>
      </c>
      <c r="U7" t="s">
        <v>1647</v>
      </c>
    </row>
    <row r="8" spans="2:21" x14ac:dyDescent="0.2">
      <c r="B8" t="s">
        <v>15</v>
      </c>
      <c r="C8" t="s">
        <v>1337</v>
      </c>
      <c r="D8" t="s">
        <v>15</v>
      </c>
      <c r="E8" t="s">
        <v>15</v>
      </c>
      <c r="F8" t="s">
        <v>1650</v>
      </c>
      <c r="G8" t="s">
        <v>1651</v>
      </c>
      <c r="H8" t="s">
        <v>1647</v>
      </c>
      <c r="K8" t="s">
        <v>15</v>
      </c>
      <c r="M8" t="s">
        <v>21</v>
      </c>
      <c r="Q8" t="s">
        <v>19</v>
      </c>
      <c r="R8" t="s">
        <v>19</v>
      </c>
      <c r="S8" t="s">
        <v>1652</v>
      </c>
      <c r="T8" t="s">
        <v>1653</v>
      </c>
      <c r="U8" t="s">
        <v>1647</v>
      </c>
    </row>
    <row r="9" spans="2:21" x14ac:dyDescent="0.2">
      <c r="B9" t="s">
        <v>17</v>
      </c>
      <c r="C9" t="s">
        <v>1338</v>
      </c>
      <c r="D9" t="s">
        <v>17</v>
      </c>
      <c r="E9" t="s">
        <v>17</v>
      </c>
      <c r="F9" t="s">
        <v>1875</v>
      </c>
      <c r="G9" t="s">
        <v>1741</v>
      </c>
      <c r="H9" t="s">
        <v>1647</v>
      </c>
      <c r="K9" t="s">
        <v>17</v>
      </c>
      <c r="M9" t="s">
        <v>23</v>
      </c>
      <c r="Q9" t="s">
        <v>21</v>
      </c>
      <c r="R9" t="s">
        <v>21</v>
      </c>
      <c r="S9" t="s">
        <v>1654</v>
      </c>
      <c r="T9" t="s">
        <v>1655</v>
      </c>
      <c r="U9" t="s">
        <v>1647</v>
      </c>
    </row>
    <row r="10" spans="2:21" x14ac:dyDescent="0.2">
      <c r="B10" t="s">
        <v>19</v>
      </c>
      <c r="C10" t="s">
        <v>1339</v>
      </c>
      <c r="D10" t="s">
        <v>19</v>
      </c>
      <c r="E10" t="s">
        <v>19</v>
      </c>
      <c r="F10" t="s">
        <v>1652</v>
      </c>
      <c r="G10" t="s">
        <v>1653</v>
      </c>
      <c r="H10" t="s">
        <v>1647</v>
      </c>
      <c r="K10" t="s">
        <v>19</v>
      </c>
      <c r="M10" t="s">
        <v>25</v>
      </c>
      <c r="Q10" t="s">
        <v>23</v>
      </c>
      <c r="R10" t="s">
        <v>23</v>
      </c>
      <c r="S10" t="s">
        <v>1656</v>
      </c>
      <c r="T10" t="s">
        <v>1657</v>
      </c>
      <c r="U10" t="s">
        <v>1647</v>
      </c>
    </row>
    <row r="11" spans="2:21" x14ac:dyDescent="0.2">
      <c r="B11" t="s">
        <v>21</v>
      </c>
      <c r="C11" t="s">
        <v>1340</v>
      </c>
      <c r="D11" t="s">
        <v>21</v>
      </c>
      <c r="E11" t="s">
        <v>21</v>
      </c>
      <c r="F11" t="s">
        <v>1654</v>
      </c>
      <c r="G11" t="s">
        <v>1655</v>
      </c>
      <c r="H11" t="s">
        <v>1647</v>
      </c>
      <c r="K11" t="s">
        <v>21</v>
      </c>
      <c r="M11" t="s">
        <v>27</v>
      </c>
      <c r="Q11" t="s">
        <v>25</v>
      </c>
      <c r="R11" t="s">
        <v>25</v>
      </c>
      <c r="S11" t="s">
        <v>25</v>
      </c>
      <c r="T11" t="s">
        <v>1646</v>
      </c>
      <c r="U11" t="s">
        <v>1647</v>
      </c>
    </row>
    <row r="12" spans="2:21" x14ac:dyDescent="0.2">
      <c r="B12" t="s">
        <v>23</v>
      </c>
      <c r="C12" t="s">
        <v>1341</v>
      </c>
      <c r="D12" t="s">
        <v>23</v>
      </c>
      <c r="E12" t="s">
        <v>23</v>
      </c>
      <c r="F12" t="s">
        <v>1656</v>
      </c>
      <c r="G12" t="s">
        <v>1657</v>
      </c>
      <c r="H12" t="s">
        <v>1647</v>
      </c>
      <c r="K12" t="s">
        <v>23</v>
      </c>
      <c r="M12" t="s">
        <v>31</v>
      </c>
      <c r="Q12" t="s">
        <v>27</v>
      </c>
      <c r="R12" t="s">
        <v>27</v>
      </c>
      <c r="S12" t="s">
        <v>1658</v>
      </c>
      <c r="T12" t="s">
        <v>1659</v>
      </c>
      <c r="U12" t="s">
        <v>1647</v>
      </c>
    </row>
    <row r="13" spans="2:21" x14ac:dyDescent="0.2">
      <c r="B13" t="s">
        <v>25</v>
      </c>
      <c r="C13" t="s">
        <v>1342</v>
      </c>
      <c r="D13" t="s">
        <v>25</v>
      </c>
      <c r="E13" t="s">
        <v>25</v>
      </c>
      <c r="F13" t="s">
        <v>25</v>
      </c>
      <c r="G13" t="s">
        <v>1646</v>
      </c>
      <c r="H13" t="s">
        <v>1647</v>
      </c>
      <c r="K13" t="s">
        <v>25</v>
      </c>
      <c r="M13" t="s">
        <v>303</v>
      </c>
      <c r="Q13" t="s">
        <v>31</v>
      </c>
      <c r="R13" t="s">
        <v>31</v>
      </c>
      <c r="S13" t="s">
        <v>1660</v>
      </c>
      <c r="T13" t="s">
        <v>1661</v>
      </c>
      <c r="U13" t="s">
        <v>1647</v>
      </c>
    </row>
    <row r="14" spans="2:21" x14ac:dyDescent="0.2">
      <c r="B14" t="s">
        <v>27</v>
      </c>
      <c r="C14" t="s">
        <v>1343</v>
      </c>
      <c r="D14" t="s">
        <v>27</v>
      </c>
      <c r="E14" t="s">
        <v>27</v>
      </c>
      <c r="F14" t="s">
        <v>1658</v>
      </c>
      <c r="G14" t="s">
        <v>1659</v>
      </c>
      <c r="H14" t="s">
        <v>1647</v>
      </c>
      <c r="K14" t="s">
        <v>27</v>
      </c>
      <c r="M14" t="s">
        <v>33</v>
      </c>
      <c r="Q14" t="s">
        <v>303</v>
      </c>
      <c r="R14" t="s">
        <v>303</v>
      </c>
      <c r="S14" t="s">
        <v>303</v>
      </c>
      <c r="T14" t="s">
        <v>1646</v>
      </c>
      <c r="U14" t="s">
        <v>1647</v>
      </c>
    </row>
    <row r="15" spans="2:21" x14ac:dyDescent="0.2">
      <c r="B15" t="s">
        <v>29</v>
      </c>
      <c r="C15" t="s">
        <v>1344</v>
      </c>
      <c r="D15" t="s">
        <v>29</v>
      </c>
      <c r="E15" t="s">
        <v>29</v>
      </c>
      <c r="F15" t="s">
        <v>1769</v>
      </c>
      <c r="G15" t="s">
        <v>1770</v>
      </c>
      <c r="H15" t="s">
        <v>1647</v>
      </c>
      <c r="K15" t="s">
        <v>29</v>
      </c>
      <c r="M15" t="s">
        <v>35</v>
      </c>
      <c r="Q15" t="s">
        <v>33</v>
      </c>
      <c r="R15" t="s">
        <v>33</v>
      </c>
      <c r="S15" t="s">
        <v>1662</v>
      </c>
      <c r="T15" t="s">
        <v>1663</v>
      </c>
      <c r="U15" t="s">
        <v>1647</v>
      </c>
    </row>
    <row r="16" spans="2:21" x14ac:dyDescent="0.2">
      <c r="B16" t="s">
        <v>31</v>
      </c>
      <c r="C16" t="s">
        <v>1345</v>
      </c>
      <c r="D16" t="s">
        <v>31</v>
      </c>
      <c r="E16" t="s">
        <v>31</v>
      </c>
      <c r="F16" t="s">
        <v>1660</v>
      </c>
      <c r="G16" t="s">
        <v>1661</v>
      </c>
      <c r="H16" t="s">
        <v>1647</v>
      </c>
      <c r="K16" t="s">
        <v>31</v>
      </c>
      <c r="M16" t="s">
        <v>37</v>
      </c>
      <c r="Q16" t="s">
        <v>35</v>
      </c>
      <c r="R16" t="s">
        <v>35</v>
      </c>
      <c r="S16" t="s">
        <v>35</v>
      </c>
      <c r="T16" t="s">
        <v>1646</v>
      </c>
      <c r="U16" t="s">
        <v>1647</v>
      </c>
    </row>
    <row r="17" spans="2:21" x14ac:dyDescent="0.2">
      <c r="B17" t="s">
        <v>33</v>
      </c>
      <c r="C17" t="s">
        <v>1346</v>
      </c>
      <c r="D17" t="s">
        <v>33</v>
      </c>
      <c r="E17" t="s">
        <v>33</v>
      </c>
      <c r="F17" t="s">
        <v>1662</v>
      </c>
      <c r="G17" t="s">
        <v>1663</v>
      </c>
      <c r="H17" t="s">
        <v>1647</v>
      </c>
      <c r="K17" t="s">
        <v>33</v>
      </c>
      <c r="M17" t="s">
        <v>41</v>
      </c>
      <c r="Q17" t="s">
        <v>37</v>
      </c>
      <c r="R17" t="s">
        <v>37</v>
      </c>
      <c r="S17" t="s">
        <v>37</v>
      </c>
      <c r="T17" t="s">
        <v>1646</v>
      </c>
      <c r="U17" t="s">
        <v>1647</v>
      </c>
    </row>
    <row r="18" spans="2:21" x14ac:dyDescent="0.2">
      <c r="B18" t="s">
        <v>35</v>
      </c>
      <c r="C18" t="s">
        <v>1347</v>
      </c>
      <c r="D18" t="s">
        <v>35</v>
      </c>
      <c r="E18" t="s">
        <v>35</v>
      </c>
      <c r="F18" t="s">
        <v>35</v>
      </c>
      <c r="G18" t="s">
        <v>1646</v>
      </c>
      <c r="H18" t="s">
        <v>1647</v>
      </c>
      <c r="K18" t="s">
        <v>35</v>
      </c>
      <c r="M18" t="s">
        <v>45</v>
      </c>
      <c r="Q18" t="s">
        <v>41</v>
      </c>
      <c r="R18" t="s">
        <v>41</v>
      </c>
      <c r="S18" t="s">
        <v>1664</v>
      </c>
      <c r="T18" t="s">
        <v>1665</v>
      </c>
      <c r="U18" t="s">
        <v>1647</v>
      </c>
    </row>
    <row r="19" spans="2:21" x14ac:dyDescent="0.2">
      <c r="B19" t="s">
        <v>37</v>
      </c>
      <c r="C19" t="s">
        <v>1348</v>
      </c>
      <c r="D19" t="s">
        <v>37</v>
      </c>
      <c r="E19" t="s">
        <v>37</v>
      </c>
      <c r="F19" t="s">
        <v>37</v>
      </c>
      <c r="G19" t="s">
        <v>1646</v>
      </c>
      <c r="H19" t="s">
        <v>1647</v>
      </c>
      <c r="K19" t="s">
        <v>37</v>
      </c>
      <c r="M19" t="s">
        <v>47</v>
      </c>
      <c r="Q19" t="s">
        <v>45</v>
      </c>
      <c r="R19" t="s">
        <v>45</v>
      </c>
      <c r="S19" t="s">
        <v>45</v>
      </c>
      <c r="T19" t="s">
        <v>1646</v>
      </c>
      <c r="U19" t="s">
        <v>1647</v>
      </c>
    </row>
    <row r="20" spans="2:21" x14ac:dyDescent="0.2">
      <c r="B20" t="s">
        <v>39</v>
      </c>
      <c r="C20" t="s">
        <v>1349</v>
      </c>
      <c r="D20" t="s">
        <v>39</v>
      </c>
      <c r="E20" t="s">
        <v>39</v>
      </c>
      <c r="F20" t="s">
        <v>1648</v>
      </c>
      <c r="G20" t="s">
        <v>1649</v>
      </c>
      <c r="H20" t="s">
        <v>1647</v>
      </c>
      <c r="K20" t="s">
        <v>39</v>
      </c>
      <c r="M20" t="s">
        <v>49</v>
      </c>
      <c r="Q20" t="s">
        <v>47</v>
      </c>
      <c r="R20" t="s">
        <v>47</v>
      </c>
      <c r="S20" t="s">
        <v>1666</v>
      </c>
      <c r="T20" t="s">
        <v>1667</v>
      </c>
      <c r="U20" t="s">
        <v>1647</v>
      </c>
    </row>
    <row r="21" spans="2:21" x14ac:dyDescent="0.2">
      <c r="B21" t="s">
        <v>41</v>
      </c>
      <c r="C21" t="s">
        <v>1350</v>
      </c>
      <c r="D21" t="s">
        <v>41</v>
      </c>
      <c r="E21" t="s">
        <v>41</v>
      </c>
      <c r="F21" t="s">
        <v>1664</v>
      </c>
      <c r="G21" t="s">
        <v>1665</v>
      </c>
      <c r="H21" t="s">
        <v>1647</v>
      </c>
      <c r="K21" t="s">
        <v>41</v>
      </c>
      <c r="M21" t="s">
        <v>51</v>
      </c>
      <c r="Q21" t="s">
        <v>49</v>
      </c>
      <c r="R21" t="s">
        <v>49</v>
      </c>
      <c r="S21" t="s">
        <v>1668</v>
      </c>
      <c r="T21" t="s">
        <v>1669</v>
      </c>
      <c r="U21" t="s">
        <v>1647</v>
      </c>
    </row>
    <row r="22" spans="2:21" x14ac:dyDescent="0.2">
      <c r="B22" t="s">
        <v>43</v>
      </c>
      <c r="C22" t="s">
        <v>1351</v>
      </c>
      <c r="D22" t="s">
        <v>43</v>
      </c>
      <c r="E22" t="s">
        <v>43</v>
      </c>
      <c r="F22" t="s">
        <v>1781</v>
      </c>
      <c r="G22" t="s">
        <v>1782</v>
      </c>
      <c r="H22" t="s">
        <v>1647</v>
      </c>
      <c r="K22" t="s">
        <v>43</v>
      </c>
      <c r="M22" t="s">
        <v>53</v>
      </c>
      <c r="Q22" t="s">
        <v>51</v>
      </c>
      <c r="R22" t="s">
        <v>51</v>
      </c>
      <c r="S22" t="s">
        <v>1670</v>
      </c>
      <c r="T22" t="s">
        <v>1671</v>
      </c>
      <c r="U22" t="s">
        <v>1647</v>
      </c>
    </row>
    <row r="23" spans="2:21" x14ac:dyDescent="0.2">
      <c r="B23" t="s">
        <v>45</v>
      </c>
      <c r="C23" t="s">
        <v>1352</v>
      </c>
      <c r="D23" t="s">
        <v>45</v>
      </c>
      <c r="E23" t="s">
        <v>45</v>
      </c>
      <c r="F23" t="s">
        <v>45</v>
      </c>
      <c r="G23" t="s">
        <v>1646</v>
      </c>
      <c r="H23" t="s">
        <v>1647</v>
      </c>
      <c r="K23" t="s">
        <v>45</v>
      </c>
      <c r="M23" t="s">
        <v>55</v>
      </c>
      <c r="Q23" t="s">
        <v>53</v>
      </c>
      <c r="R23" t="s">
        <v>53</v>
      </c>
      <c r="S23" t="s">
        <v>1672</v>
      </c>
      <c r="T23" t="s">
        <v>1646</v>
      </c>
      <c r="U23" t="s">
        <v>1647</v>
      </c>
    </row>
    <row r="24" spans="2:21" x14ac:dyDescent="0.2">
      <c r="B24" t="s">
        <v>47</v>
      </c>
      <c r="C24" t="s">
        <v>1353</v>
      </c>
      <c r="D24" t="s">
        <v>47</v>
      </c>
      <c r="E24" t="s">
        <v>47</v>
      </c>
      <c r="F24" t="s">
        <v>1666</v>
      </c>
      <c r="G24" t="s">
        <v>1667</v>
      </c>
      <c r="H24" t="s">
        <v>1647</v>
      </c>
      <c r="K24" t="s">
        <v>47</v>
      </c>
      <c r="M24" t="s">
        <v>57</v>
      </c>
      <c r="Q24" t="s">
        <v>55</v>
      </c>
      <c r="R24" t="s">
        <v>55</v>
      </c>
      <c r="S24" t="s">
        <v>1670</v>
      </c>
      <c r="T24" t="s">
        <v>1671</v>
      </c>
      <c r="U24" t="s">
        <v>1647</v>
      </c>
    </row>
    <row r="25" spans="2:21" x14ac:dyDescent="0.2">
      <c r="B25" t="s">
        <v>49</v>
      </c>
      <c r="C25" t="s">
        <v>1354</v>
      </c>
      <c r="D25" t="s">
        <v>49</v>
      </c>
      <c r="E25" t="s">
        <v>49</v>
      </c>
      <c r="F25" t="s">
        <v>1668</v>
      </c>
      <c r="G25" t="s">
        <v>1669</v>
      </c>
      <c r="H25" t="s">
        <v>1647</v>
      </c>
      <c r="K25" t="s">
        <v>49</v>
      </c>
      <c r="M25" t="s">
        <v>59</v>
      </c>
      <c r="Q25" t="s">
        <v>57</v>
      </c>
      <c r="R25" t="s">
        <v>57</v>
      </c>
      <c r="S25" t="s">
        <v>1673</v>
      </c>
      <c r="T25" t="s">
        <v>1674</v>
      </c>
      <c r="U25" t="s">
        <v>1647</v>
      </c>
    </row>
    <row r="26" spans="2:21" x14ac:dyDescent="0.2">
      <c r="B26" t="s">
        <v>51</v>
      </c>
      <c r="C26" t="s">
        <v>1355</v>
      </c>
      <c r="D26" t="s">
        <v>51</v>
      </c>
      <c r="E26" t="s">
        <v>51</v>
      </c>
      <c r="F26" t="s">
        <v>1670</v>
      </c>
      <c r="G26" t="s">
        <v>1671</v>
      </c>
      <c r="H26" t="s">
        <v>1647</v>
      </c>
      <c r="K26" t="s">
        <v>51</v>
      </c>
      <c r="M26" t="s">
        <v>63</v>
      </c>
      <c r="Q26" t="s">
        <v>59</v>
      </c>
      <c r="R26" t="s">
        <v>59</v>
      </c>
      <c r="S26" t="s">
        <v>1675</v>
      </c>
      <c r="T26" t="s">
        <v>1676</v>
      </c>
      <c r="U26" t="s">
        <v>1647</v>
      </c>
    </row>
    <row r="27" spans="2:21" x14ac:dyDescent="0.2">
      <c r="B27" t="s">
        <v>53</v>
      </c>
      <c r="C27" t="s">
        <v>1356</v>
      </c>
      <c r="D27" t="s">
        <v>53</v>
      </c>
      <c r="E27" t="s">
        <v>53</v>
      </c>
      <c r="F27" t="s">
        <v>1672</v>
      </c>
      <c r="G27" t="s">
        <v>1646</v>
      </c>
      <c r="H27" t="s">
        <v>1647</v>
      </c>
      <c r="K27" t="s">
        <v>53</v>
      </c>
      <c r="M27" t="s">
        <v>65</v>
      </c>
      <c r="Q27" t="s">
        <v>63</v>
      </c>
      <c r="R27" t="s">
        <v>63</v>
      </c>
      <c r="S27" t="s">
        <v>63</v>
      </c>
      <c r="T27" t="s">
        <v>1677</v>
      </c>
      <c r="U27" t="s">
        <v>1647</v>
      </c>
    </row>
    <row r="28" spans="2:21" x14ac:dyDescent="0.2">
      <c r="B28" t="s">
        <v>55</v>
      </c>
      <c r="C28" t="s">
        <v>1357</v>
      </c>
      <c r="D28" t="s">
        <v>55</v>
      </c>
      <c r="E28" t="s">
        <v>55</v>
      </c>
      <c r="F28" t="s">
        <v>1670</v>
      </c>
      <c r="G28" t="s">
        <v>1671</v>
      </c>
      <c r="H28" t="s">
        <v>1647</v>
      </c>
      <c r="K28" t="s">
        <v>55</v>
      </c>
      <c r="M28" t="s">
        <v>67</v>
      </c>
      <c r="Q28" t="s">
        <v>65</v>
      </c>
      <c r="R28" t="s">
        <v>65</v>
      </c>
      <c r="S28" t="s">
        <v>1678</v>
      </c>
      <c r="T28" t="s">
        <v>1679</v>
      </c>
      <c r="U28" t="s">
        <v>1647</v>
      </c>
    </row>
    <row r="29" spans="2:21" x14ac:dyDescent="0.2">
      <c r="B29" t="s">
        <v>57</v>
      </c>
      <c r="C29" t="s">
        <v>1358</v>
      </c>
      <c r="D29" t="s">
        <v>57</v>
      </c>
      <c r="E29" t="s">
        <v>57</v>
      </c>
      <c r="F29" t="s">
        <v>1673</v>
      </c>
      <c r="G29" t="s">
        <v>1674</v>
      </c>
      <c r="H29" t="s">
        <v>1647</v>
      </c>
      <c r="K29" t="s">
        <v>57</v>
      </c>
      <c r="M29" t="s">
        <v>69</v>
      </c>
      <c r="Q29" t="s">
        <v>67</v>
      </c>
      <c r="R29" t="s">
        <v>67</v>
      </c>
      <c r="S29" t="s">
        <v>1680</v>
      </c>
      <c r="T29" t="s">
        <v>1681</v>
      </c>
      <c r="U29" t="s">
        <v>1647</v>
      </c>
    </row>
    <row r="30" spans="2:21" x14ac:dyDescent="0.2">
      <c r="B30" t="s">
        <v>59</v>
      </c>
      <c r="C30" t="s">
        <v>1359</v>
      </c>
      <c r="D30" t="s">
        <v>59</v>
      </c>
      <c r="E30" t="s">
        <v>59</v>
      </c>
      <c r="F30" t="s">
        <v>1675</v>
      </c>
      <c r="G30" t="s">
        <v>1676</v>
      </c>
      <c r="H30" t="s">
        <v>1647</v>
      </c>
      <c r="K30" t="s">
        <v>59</v>
      </c>
      <c r="M30" t="s">
        <v>71</v>
      </c>
      <c r="Q30" t="s">
        <v>69</v>
      </c>
      <c r="R30" t="s">
        <v>69</v>
      </c>
      <c r="S30" t="s">
        <v>69</v>
      </c>
      <c r="T30" t="s">
        <v>1646</v>
      </c>
      <c r="U30" t="s">
        <v>1647</v>
      </c>
    </row>
    <row r="31" spans="2:21" x14ac:dyDescent="0.2">
      <c r="B31" t="s">
        <v>61</v>
      </c>
      <c r="C31" t="s">
        <v>1360</v>
      </c>
      <c r="D31" t="s">
        <v>61</v>
      </c>
      <c r="E31" t="s">
        <v>61</v>
      </c>
      <c r="F31" t="s">
        <v>1931</v>
      </c>
      <c r="G31" t="s">
        <v>1932</v>
      </c>
      <c r="H31" t="s">
        <v>1647</v>
      </c>
      <c r="K31" t="s">
        <v>61</v>
      </c>
      <c r="M31" t="s">
        <v>77</v>
      </c>
      <c r="Q31" t="s">
        <v>71</v>
      </c>
      <c r="R31" t="s">
        <v>71</v>
      </c>
      <c r="S31" t="s">
        <v>1682</v>
      </c>
      <c r="T31" t="s">
        <v>1683</v>
      </c>
      <c r="U31" t="s">
        <v>1647</v>
      </c>
    </row>
    <row r="32" spans="2:21" x14ac:dyDescent="0.2">
      <c r="B32" t="s">
        <v>63</v>
      </c>
      <c r="C32" t="s">
        <v>1361</v>
      </c>
      <c r="D32" t="s">
        <v>63</v>
      </c>
      <c r="E32" t="s">
        <v>63</v>
      </c>
      <c r="F32" t="s">
        <v>63</v>
      </c>
      <c r="G32" t="s">
        <v>1677</v>
      </c>
      <c r="H32" t="s">
        <v>1647</v>
      </c>
      <c r="K32" t="s">
        <v>63</v>
      </c>
      <c r="M32" t="s">
        <v>81</v>
      </c>
      <c r="Q32" t="s">
        <v>77</v>
      </c>
      <c r="R32" t="s">
        <v>77</v>
      </c>
      <c r="S32" t="s">
        <v>1652</v>
      </c>
      <c r="T32" t="s">
        <v>1653</v>
      </c>
      <c r="U32" t="s">
        <v>1647</v>
      </c>
    </row>
    <row r="33" spans="2:21" x14ac:dyDescent="0.2">
      <c r="B33" t="s">
        <v>65</v>
      </c>
      <c r="C33" t="s">
        <v>1362</v>
      </c>
      <c r="D33" t="s">
        <v>65</v>
      </c>
      <c r="E33" t="s">
        <v>65</v>
      </c>
      <c r="F33" t="s">
        <v>1678</v>
      </c>
      <c r="G33" t="s">
        <v>1679</v>
      </c>
      <c r="H33" t="s">
        <v>1647</v>
      </c>
      <c r="K33" t="s">
        <v>65</v>
      </c>
      <c r="M33" t="s">
        <v>95</v>
      </c>
      <c r="Q33" t="s">
        <v>81</v>
      </c>
      <c r="R33" t="s">
        <v>81</v>
      </c>
      <c r="S33" t="s">
        <v>81</v>
      </c>
      <c r="T33" t="s">
        <v>1646</v>
      </c>
      <c r="U33" t="s">
        <v>1647</v>
      </c>
    </row>
    <row r="34" spans="2:21" x14ac:dyDescent="0.2">
      <c r="B34" t="s">
        <v>67</v>
      </c>
      <c r="C34" t="s">
        <v>1363</v>
      </c>
      <c r="D34" t="s">
        <v>67</v>
      </c>
      <c r="E34" t="s">
        <v>67</v>
      </c>
      <c r="F34" t="s">
        <v>1680</v>
      </c>
      <c r="G34" t="s">
        <v>1681</v>
      </c>
      <c r="H34" t="s">
        <v>1647</v>
      </c>
      <c r="K34" t="s">
        <v>67</v>
      </c>
      <c r="M34" t="s">
        <v>97</v>
      </c>
      <c r="Q34" t="s">
        <v>95</v>
      </c>
      <c r="R34" t="s">
        <v>95</v>
      </c>
      <c r="S34" t="s">
        <v>1684</v>
      </c>
      <c r="T34" t="s">
        <v>1685</v>
      </c>
      <c r="U34" t="s">
        <v>1647</v>
      </c>
    </row>
    <row r="35" spans="2:21" x14ac:dyDescent="0.2">
      <c r="B35" t="s">
        <v>69</v>
      </c>
      <c r="C35" t="s">
        <v>1364</v>
      </c>
      <c r="D35" t="s">
        <v>69</v>
      </c>
      <c r="E35" t="s">
        <v>69</v>
      </c>
      <c r="F35" t="s">
        <v>69</v>
      </c>
      <c r="G35" t="s">
        <v>1646</v>
      </c>
      <c r="H35" t="s">
        <v>1647</v>
      </c>
      <c r="K35" t="s">
        <v>69</v>
      </c>
      <c r="M35" t="s">
        <v>99</v>
      </c>
      <c r="Q35" t="s">
        <v>97</v>
      </c>
      <c r="R35" t="s">
        <v>97</v>
      </c>
      <c r="S35" t="s">
        <v>97</v>
      </c>
      <c r="T35" t="s">
        <v>1646</v>
      </c>
      <c r="U35" t="s">
        <v>1647</v>
      </c>
    </row>
    <row r="36" spans="2:21" x14ac:dyDescent="0.2">
      <c r="B36" t="s">
        <v>71</v>
      </c>
      <c r="C36" t="s">
        <v>1365</v>
      </c>
      <c r="D36" t="s">
        <v>71</v>
      </c>
      <c r="E36" t="s">
        <v>71</v>
      </c>
      <c r="F36" t="s">
        <v>1682</v>
      </c>
      <c r="G36" t="s">
        <v>1683</v>
      </c>
      <c r="H36" t="s">
        <v>1647</v>
      </c>
      <c r="K36" t="s">
        <v>71</v>
      </c>
      <c r="M36" t="s">
        <v>101</v>
      </c>
      <c r="Q36" t="s">
        <v>99</v>
      </c>
      <c r="R36" t="s">
        <v>99</v>
      </c>
      <c r="S36" t="s">
        <v>1686</v>
      </c>
      <c r="T36" t="s">
        <v>1687</v>
      </c>
      <c r="U36" t="s">
        <v>1647</v>
      </c>
    </row>
    <row r="37" spans="2:21" x14ac:dyDescent="0.2">
      <c r="B37" t="s">
        <v>73</v>
      </c>
      <c r="C37" t="s">
        <v>1366</v>
      </c>
      <c r="D37" t="s">
        <v>73</v>
      </c>
      <c r="E37" t="s">
        <v>73</v>
      </c>
      <c r="F37" t="s">
        <v>1705</v>
      </c>
      <c r="G37" t="s">
        <v>1706</v>
      </c>
      <c r="H37" t="s">
        <v>1647</v>
      </c>
      <c r="K37" t="s">
        <v>73</v>
      </c>
      <c r="M37" t="s">
        <v>105</v>
      </c>
      <c r="Q37" t="s">
        <v>101</v>
      </c>
      <c r="R37" t="s">
        <v>101</v>
      </c>
      <c r="S37" t="s">
        <v>1688</v>
      </c>
      <c r="T37" t="s">
        <v>1689</v>
      </c>
      <c r="U37" t="s">
        <v>1647</v>
      </c>
    </row>
    <row r="38" spans="2:21" x14ac:dyDescent="0.2">
      <c r="B38" t="s">
        <v>75</v>
      </c>
      <c r="C38" t="s">
        <v>1367</v>
      </c>
      <c r="D38" t="s">
        <v>75</v>
      </c>
      <c r="E38" t="s">
        <v>75</v>
      </c>
      <c r="F38" t="s">
        <v>75</v>
      </c>
      <c r="G38" t="s">
        <v>1646</v>
      </c>
      <c r="H38" t="s">
        <v>1647</v>
      </c>
      <c r="K38" t="s">
        <v>75</v>
      </c>
      <c r="M38" t="s">
        <v>107</v>
      </c>
      <c r="Q38" t="s">
        <v>105</v>
      </c>
      <c r="R38" t="s">
        <v>105</v>
      </c>
      <c r="S38" t="s">
        <v>105</v>
      </c>
      <c r="T38" t="s">
        <v>1646</v>
      </c>
      <c r="U38" t="s">
        <v>1647</v>
      </c>
    </row>
    <row r="39" spans="2:21" x14ac:dyDescent="0.2">
      <c r="B39" t="s">
        <v>77</v>
      </c>
      <c r="C39" t="s">
        <v>1368</v>
      </c>
      <c r="D39" t="s">
        <v>77</v>
      </c>
      <c r="E39" t="s">
        <v>77</v>
      </c>
      <c r="F39" t="s">
        <v>1652</v>
      </c>
      <c r="G39" t="s">
        <v>1653</v>
      </c>
      <c r="H39" t="s">
        <v>1647</v>
      </c>
      <c r="K39" t="s">
        <v>77</v>
      </c>
      <c r="M39" t="s">
        <v>111</v>
      </c>
      <c r="Q39" t="s">
        <v>107</v>
      </c>
      <c r="R39" t="s">
        <v>107</v>
      </c>
      <c r="S39" t="s">
        <v>107</v>
      </c>
      <c r="T39" t="s">
        <v>1646</v>
      </c>
      <c r="U39" t="s">
        <v>1647</v>
      </c>
    </row>
    <row r="40" spans="2:21" x14ac:dyDescent="0.2">
      <c r="B40" t="s">
        <v>79</v>
      </c>
      <c r="C40" t="s">
        <v>1369</v>
      </c>
      <c r="D40" t="s">
        <v>79</v>
      </c>
      <c r="E40" t="s">
        <v>79</v>
      </c>
      <c r="F40" t="s">
        <v>79</v>
      </c>
      <c r="G40" t="s">
        <v>1646</v>
      </c>
      <c r="H40" t="s">
        <v>1647</v>
      </c>
      <c r="K40" t="s">
        <v>79</v>
      </c>
      <c r="M40" t="s">
        <v>117</v>
      </c>
      <c r="Q40" t="s">
        <v>111</v>
      </c>
      <c r="R40" t="s">
        <v>111</v>
      </c>
      <c r="S40" t="s">
        <v>1690</v>
      </c>
      <c r="T40" t="s">
        <v>1691</v>
      </c>
      <c r="U40" t="s">
        <v>1647</v>
      </c>
    </row>
    <row r="41" spans="2:21" x14ac:dyDescent="0.2">
      <c r="B41" t="s">
        <v>81</v>
      </c>
      <c r="C41" t="s">
        <v>1370</v>
      </c>
      <c r="D41" t="s">
        <v>81</v>
      </c>
      <c r="E41" t="s">
        <v>81</v>
      </c>
      <c r="F41" t="s">
        <v>81</v>
      </c>
      <c r="G41" t="s">
        <v>1646</v>
      </c>
      <c r="H41" t="s">
        <v>1647</v>
      </c>
      <c r="K41" t="s">
        <v>81</v>
      </c>
      <c r="M41" t="s">
        <v>119</v>
      </c>
      <c r="Q41" t="s">
        <v>117</v>
      </c>
      <c r="R41" t="s">
        <v>117</v>
      </c>
      <c r="S41" t="s">
        <v>1692</v>
      </c>
      <c r="T41" t="s">
        <v>1693</v>
      </c>
      <c r="U41" t="s">
        <v>1647</v>
      </c>
    </row>
    <row r="42" spans="2:21" x14ac:dyDescent="0.2">
      <c r="B42" t="s">
        <v>83</v>
      </c>
      <c r="C42" t="s">
        <v>1371</v>
      </c>
      <c r="D42" t="s">
        <v>83</v>
      </c>
      <c r="E42" t="s">
        <v>83</v>
      </c>
      <c r="F42" t="s">
        <v>1769</v>
      </c>
      <c r="G42" t="s">
        <v>1770</v>
      </c>
      <c r="H42" t="s">
        <v>1647</v>
      </c>
      <c r="K42" t="s">
        <v>83</v>
      </c>
      <c r="M42" t="s">
        <v>123</v>
      </c>
      <c r="Q42" t="s">
        <v>119</v>
      </c>
      <c r="R42" t="s">
        <v>119</v>
      </c>
      <c r="S42" t="s">
        <v>1694</v>
      </c>
      <c r="T42" t="s">
        <v>1695</v>
      </c>
      <c r="U42" t="s">
        <v>1647</v>
      </c>
    </row>
    <row r="43" spans="2:21" x14ac:dyDescent="0.2">
      <c r="B43" t="s">
        <v>85</v>
      </c>
      <c r="C43" t="s">
        <v>1372</v>
      </c>
      <c r="D43" t="s">
        <v>85</v>
      </c>
      <c r="E43" t="s">
        <v>85</v>
      </c>
      <c r="F43" t="s">
        <v>1799</v>
      </c>
      <c r="G43" t="s">
        <v>1800</v>
      </c>
      <c r="H43" t="s">
        <v>1647</v>
      </c>
      <c r="K43" t="s">
        <v>85</v>
      </c>
      <c r="M43" t="s">
        <v>129</v>
      </c>
      <c r="Q43" t="s">
        <v>123</v>
      </c>
      <c r="R43" t="s">
        <v>123</v>
      </c>
      <c r="S43" t="s">
        <v>123</v>
      </c>
      <c r="T43" t="s">
        <v>1696</v>
      </c>
      <c r="U43" t="s">
        <v>1647</v>
      </c>
    </row>
    <row r="44" spans="2:21" x14ac:dyDescent="0.2">
      <c r="B44" t="s">
        <v>87</v>
      </c>
      <c r="C44" t="s">
        <v>1373</v>
      </c>
      <c r="D44" t="s">
        <v>87</v>
      </c>
      <c r="E44" t="s">
        <v>87</v>
      </c>
      <c r="F44" t="s">
        <v>1675</v>
      </c>
      <c r="G44" t="s">
        <v>1676</v>
      </c>
      <c r="H44" t="s">
        <v>1647</v>
      </c>
      <c r="K44" t="s">
        <v>87</v>
      </c>
      <c r="M44" t="s">
        <v>131</v>
      </c>
      <c r="Q44" t="s">
        <v>129</v>
      </c>
      <c r="R44" t="s">
        <v>129</v>
      </c>
      <c r="S44" t="s">
        <v>1697</v>
      </c>
      <c r="T44" t="s">
        <v>1698</v>
      </c>
      <c r="U44" t="s">
        <v>1647</v>
      </c>
    </row>
    <row r="45" spans="2:21" x14ac:dyDescent="0.2">
      <c r="B45" t="s">
        <v>89</v>
      </c>
      <c r="C45" t="s">
        <v>1374</v>
      </c>
      <c r="D45" t="s">
        <v>89</v>
      </c>
      <c r="E45" t="s">
        <v>89</v>
      </c>
      <c r="F45" t="s">
        <v>1806</v>
      </c>
      <c r="G45" t="s">
        <v>1807</v>
      </c>
      <c r="H45" t="s">
        <v>1647</v>
      </c>
      <c r="K45" t="s">
        <v>89</v>
      </c>
      <c r="M45" t="s">
        <v>133</v>
      </c>
      <c r="Q45" t="s">
        <v>131</v>
      </c>
      <c r="R45" t="s">
        <v>131</v>
      </c>
      <c r="S45" t="s">
        <v>131</v>
      </c>
      <c r="T45" t="s">
        <v>1646</v>
      </c>
      <c r="U45" t="s">
        <v>1647</v>
      </c>
    </row>
    <row r="46" spans="2:21" x14ac:dyDescent="0.2">
      <c r="B46" t="s">
        <v>91</v>
      </c>
      <c r="C46" t="s">
        <v>1375</v>
      </c>
      <c r="D46" t="s">
        <v>91</v>
      </c>
      <c r="E46" t="s">
        <v>91</v>
      </c>
      <c r="F46" t="s">
        <v>1803</v>
      </c>
      <c r="G46" t="s">
        <v>1804</v>
      </c>
      <c r="H46" t="s">
        <v>1647</v>
      </c>
      <c r="K46" t="s">
        <v>91</v>
      </c>
      <c r="M46" t="s">
        <v>137</v>
      </c>
      <c r="Q46" t="s">
        <v>133</v>
      </c>
      <c r="R46" t="s">
        <v>133</v>
      </c>
      <c r="S46" t="s">
        <v>133</v>
      </c>
      <c r="T46" t="s">
        <v>1646</v>
      </c>
      <c r="U46" t="s">
        <v>1647</v>
      </c>
    </row>
    <row r="47" spans="2:21" x14ac:dyDescent="0.2">
      <c r="B47" t="s">
        <v>93</v>
      </c>
      <c r="C47" t="s">
        <v>1376</v>
      </c>
      <c r="D47" t="s">
        <v>93</v>
      </c>
      <c r="E47" t="s">
        <v>93</v>
      </c>
      <c r="F47" t="s">
        <v>93</v>
      </c>
      <c r="G47" t="s">
        <v>1886</v>
      </c>
      <c r="H47" t="s">
        <v>1647</v>
      </c>
      <c r="K47" t="s">
        <v>93</v>
      </c>
      <c r="M47" t="s">
        <v>151</v>
      </c>
      <c r="Q47" t="s">
        <v>137</v>
      </c>
      <c r="R47" t="s">
        <v>137</v>
      </c>
      <c r="S47" t="s">
        <v>137</v>
      </c>
      <c r="T47" t="s">
        <v>1646</v>
      </c>
      <c r="U47" t="s">
        <v>1647</v>
      </c>
    </row>
    <row r="48" spans="2:21" x14ac:dyDescent="0.2">
      <c r="B48" t="s">
        <v>95</v>
      </c>
      <c r="C48" t="s">
        <v>1377</v>
      </c>
      <c r="D48" t="s">
        <v>95</v>
      </c>
      <c r="E48" t="s">
        <v>95</v>
      </c>
      <c r="F48" t="s">
        <v>1684</v>
      </c>
      <c r="G48" t="s">
        <v>1685</v>
      </c>
      <c r="H48" t="s">
        <v>1647</v>
      </c>
      <c r="K48" t="s">
        <v>95</v>
      </c>
      <c r="M48" t="s">
        <v>153</v>
      </c>
      <c r="Q48" t="s">
        <v>151</v>
      </c>
      <c r="R48" t="s">
        <v>151</v>
      </c>
      <c r="S48" t="s">
        <v>1699</v>
      </c>
      <c r="T48" t="s">
        <v>1700</v>
      </c>
      <c r="U48" t="s">
        <v>1647</v>
      </c>
    </row>
    <row r="49" spans="2:21" x14ac:dyDescent="0.2">
      <c r="B49" t="s">
        <v>97</v>
      </c>
      <c r="C49" t="s">
        <v>1378</v>
      </c>
      <c r="D49" t="s">
        <v>97</v>
      </c>
      <c r="E49" t="s">
        <v>97</v>
      </c>
      <c r="F49" t="s">
        <v>97</v>
      </c>
      <c r="G49" t="s">
        <v>1646</v>
      </c>
      <c r="H49" t="s">
        <v>1647</v>
      </c>
      <c r="K49" t="s">
        <v>97</v>
      </c>
      <c r="M49" t="s">
        <v>155</v>
      </c>
      <c r="Q49" t="s">
        <v>153</v>
      </c>
      <c r="R49" t="s">
        <v>153</v>
      </c>
      <c r="S49" t="s">
        <v>1701</v>
      </c>
      <c r="T49" t="s">
        <v>1702</v>
      </c>
      <c r="U49" t="s">
        <v>1647</v>
      </c>
    </row>
    <row r="50" spans="2:21" x14ac:dyDescent="0.2">
      <c r="B50" t="s">
        <v>99</v>
      </c>
      <c r="C50" t="s">
        <v>1379</v>
      </c>
      <c r="D50" t="s">
        <v>99</v>
      </c>
      <c r="E50" t="s">
        <v>99</v>
      </c>
      <c r="F50" t="s">
        <v>1686</v>
      </c>
      <c r="G50" t="s">
        <v>1687</v>
      </c>
      <c r="H50" t="s">
        <v>1647</v>
      </c>
      <c r="K50" t="s">
        <v>99</v>
      </c>
      <c r="M50" t="s">
        <v>157</v>
      </c>
      <c r="Q50" t="s">
        <v>155</v>
      </c>
      <c r="R50" t="s">
        <v>155</v>
      </c>
      <c r="S50" t="s">
        <v>1703</v>
      </c>
      <c r="T50" t="s">
        <v>1704</v>
      </c>
      <c r="U50" t="s">
        <v>1647</v>
      </c>
    </row>
    <row r="51" spans="2:21" x14ac:dyDescent="0.2">
      <c r="B51" t="s">
        <v>101</v>
      </c>
      <c r="C51" t="s">
        <v>1380</v>
      </c>
      <c r="D51" t="s">
        <v>101</v>
      </c>
      <c r="E51" t="s">
        <v>101</v>
      </c>
      <c r="F51" t="s">
        <v>1688</v>
      </c>
      <c r="G51" t="s">
        <v>1689</v>
      </c>
      <c r="H51" t="s">
        <v>1647</v>
      </c>
      <c r="K51" t="s">
        <v>101</v>
      </c>
      <c r="M51" t="s">
        <v>169</v>
      </c>
      <c r="Q51" t="s">
        <v>157</v>
      </c>
      <c r="R51" t="s">
        <v>157</v>
      </c>
      <c r="S51" t="s">
        <v>1656</v>
      </c>
      <c r="T51" t="s">
        <v>1657</v>
      </c>
      <c r="U51" t="s">
        <v>1647</v>
      </c>
    </row>
    <row r="52" spans="2:21" x14ac:dyDescent="0.2">
      <c r="B52" t="s">
        <v>103</v>
      </c>
      <c r="C52" t="s">
        <v>1381</v>
      </c>
      <c r="D52" t="s">
        <v>103</v>
      </c>
      <c r="E52" t="s">
        <v>103</v>
      </c>
      <c r="F52" t="s">
        <v>103</v>
      </c>
      <c r="G52" t="s">
        <v>1646</v>
      </c>
      <c r="H52" t="s">
        <v>1647</v>
      </c>
      <c r="K52" t="s">
        <v>103</v>
      </c>
      <c r="M52" t="s">
        <v>177</v>
      </c>
      <c r="Q52" t="s">
        <v>169</v>
      </c>
      <c r="R52" t="s">
        <v>169</v>
      </c>
      <c r="S52" t="s">
        <v>1705</v>
      </c>
      <c r="T52" t="s">
        <v>1706</v>
      </c>
      <c r="U52" t="s">
        <v>1647</v>
      </c>
    </row>
    <row r="53" spans="2:21" x14ac:dyDescent="0.2">
      <c r="B53" t="s">
        <v>105</v>
      </c>
      <c r="C53" t="s">
        <v>1382</v>
      </c>
      <c r="D53" t="s">
        <v>105</v>
      </c>
      <c r="E53" t="s">
        <v>105</v>
      </c>
      <c r="F53" t="s">
        <v>105</v>
      </c>
      <c r="G53" t="s">
        <v>1646</v>
      </c>
      <c r="H53" t="s">
        <v>1647</v>
      </c>
      <c r="K53" t="s">
        <v>105</v>
      </c>
      <c r="M53" t="s">
        <v>179</v>
      </c>
      <c r="Q53" t="s">
        <v>177</v>
      </c>
      <c r="R53" t="s">
        <v>177</v>
      </c>
      <c r="S53" t="s">
        <v>177</v>
      </c>
      <c r="T53" t="s">
        <v>1646</v>
      </c>
      <c r="U53" t="s">
        <v>1647</v>
      </c>
    </row>
    <row r="54" spans="2:21" x14ac:dyDescent="0.2">
      <c r="B54" t="s">
        <v>107</v>
      </c>
      <c r="C54" t="s">
        <v>1383</v>
      </c>
      <c r="D54" t="s">
        <v>107</v>
      </c>
      <c r="E54" t="s">
        <v>107</v>
      </c>
      <c r="F54" t="s">
        <v>107</v>
      </c>
      <c r="G54" t="s">
        <v>1646</v>
      </c>
      <c r="H54" t="s">
        <v>1647</v>
      </c>
      <c r="K54" t="s">
        <v>107</v>
      </c>
      <c r="M54" t="s">
        <v>181</v>
      </c>
      <c r="Q54" t="s">
        <v>179</v>
      </c>
      <c r="R54" t="s">
        <v>179</v>
      </c>
      <c r="S54" t="s">
        <v>1707</v>
      </c>
      <c r="T54" t="s">
        <v>1708</v>
      </c>
      <c r="U54" t="s">
        <v>1647</v>
      </c>
    </row>
    <row r="55" spans="2:21" x14ac:dyDescent="0.2">
      <c r="B55" t="s">
        <v>109</v>
      </c>
      <c r="C55" t="s">
        <v>1384</v>
      </c>
      <c r="D55" t="s">
        <v>109</v>
      </c>
      <c r="E55" t="s">
        <v>109</v>
      </c>
      <c r="F55" t="s">
        <v>1752</v>
      </c>
      <c r="G55" t="s">
        <v>1753</v>
      </c>
      <c r="H55" t="s">
        <v>1647</v>
      </c>
      <c r="K55" t="s">
        <v>109</v>
      </c>
      <c r="M55" t="s">
        <v>183</v>
      </c>
      <c r="Q55" t="s">
        <v>181</v>
      </c>
      <c r="R55" t="s">
        <v>181</v>
      </c>
      <c r="S55" t="s">
        <v>1709</v>
      </c>
      <c r="T55" t="s">
        <v>1710</v>
      </c>
      <c r="U55" t="s">
        <v>1647</v>
      </c>
    </row>
    <row r="56" spans="2:21" x14ac:dyDescent="0.2">
      <c r="B56" t="s">
        <v>111</v>
      </c>
      <c r="C56" t="s">
        <v>1385</v>
      </c>
      <c r="D56" t="s">
        <v>111</v>
      </c>
      <c r="E56" t="s">
        <v>111</v>
      </c>
      <c r="F56" t="s">
        <v>1690</v>
      </c>
      <c r="G56" t="s">
        <v>1691</v>
      </c>
      <c r="H56" t="s">
        <v>1647</v>
      </c>
      <c r="K56" t="s">
        <v>111</v>
      </c>
      <c r="M56" t="s">
        <v>191</v>
      </c>
      <c r="Q56" t="s">
        <v>183</v>
      </c>
      <c r="R56" t="s">
        <v>183</v>
      </c>
      <c r="S56" t="s">
        <v>1711</v>
      </c>
      <c r="T56" t="s">
        <v>1712</v>
      </c>
      <c r="U56" t="s">
        <v>1647</v>
      </c>
    </row>
    <row r="57" spans="2:21" x14ac:dyDescent="0.2">
      <c r="B57" t="s">
        <v>113</v>
      </c>
      <c r="C57" t="s">
        <v>1386</v>
      </c>
      <c r="D57" t="s">
        <v>113</v>
      </c>
      <c r="E57" t="s">
        <v>113</v>
      </c>
      <c r="F57" t="s">
        <v>1682</v>
      </c>
      <c r="G57" t="s">
        <v>1683</v>
      </c>
      <c r="H57" t="s">
        <v>1647</v>
      </c>
      <c r="K57" t="s">
        <v>113</v>
      </c>
      <c r="M57" t="s">
        <v>193</v>
      </c>
      <c r="Q57" t="s">
        <v>191</v>
      </c>
      <c r="R57" t="s">
        <v>191</v>
      </c>
      <c r="S57" t="s">
        <v>1713</v>
      </c>
      <c r="T57" t="s">
        <v>1714</v>
      </c>
      <c r="U57" t="s">
        <v>1647</v>
      </c>
    </row>
    <row r="58" spans="2:21" x14ac:dyDescent="0.2">
      <c r="B58" t="s">
        <v>115</v>
      </c>
      <c r="C58" t="s">
        <v>1387</v>
      </c>
      <c r="D58" t="s">
        <v>115</v>
      </c>
      <c r="E58" t="s">
        <v>115</v>
      </c>
      <c r="F58" t="s">
        <v>1757</v>
      </c>
      <c r="G58" t="s">
        <v>1758</v>
      </c>
      <c r="H58" t="s">
        <v>1647</v>
      </c>
      <c r="K58" t="s">
        <v>115</v>
      </c>
      <c r="M58" t="s">
        <v>201</v>
      </c>
      <c r="Q58" t="s">
        <v>193</v>
      </c>
      <c r="R58" t="s">
        <v>193</v>
      </c>
      <c r="S58" t="s">
        <v>1715</v>
      </c>
      <c r="T58" t="s">
        <v>1716</v>
      </c>
      <c r="U58" t="s">
        <v>1647</v>
      </c>
    </row>
    <row r="59" spans="2:21" x14ac:dyDescent="0.2">
      <c r="B59" t="s">
        <v>117</v>
      </c>
      <c r="C59" t="s">
        <v>1388</v>
      </c>
      <c r="D59" t="s">
        <v>117</v>
      </c>
      <c r="E59" t="s">
        <v>117</v>
      </c>
      <c r="F59" t="s">
        <v>1692</v>
      </c>
      <c r="G59" t="s">
        <v>1693</v>
      </c>
      <c r="H59" t="s">
        <v>1647</v>
      </c>
      <c r="K59" t="s">
        <v>117</v>
      </c>
      <c r="M59" t="s">
        <v>203</v>
      </c>
      <c r="Q59" t="s">
        <v>201</v>
      </c>
      <c r="R59" t="s">
        <v>201</v>
      </c>
      <c r="S59" t="s">
        <v>201</v>
      </c>
      <c r="T59" t="s">
        <v>1646</v>
      </c>
      <c r="U59" t="s">
        <v>1647</v>
      </c>
    </row>
    <row r="60" spans="2:21" x14ac:dyDescent="0.2">
      <c r="B60" t="s">
        <v>119</v>
      </c>
      <c r="C60" t="s">
        <v>1389</v>
      </c>
      <c r="D60" t="s">
        <v>119</v>
      </c>
      <c r="E60" t="s">
        <v>119</v>
      </c>
      <c r="F60" t="s">
        <v>1694</v>
      </c>
      <c r="G60" t="s">
        <v>1695</v>
      </c>
      <c r="H60" t="s">
        <v>1647</v>
      </c>
      <c r="K60" t="s">
        <v>119</v>
      </c>
      <c r="M60" t="s">
        <v>205</v>
      </c>
      <c r="Q60" t="s">
        <v>203</v>
      </c>
      <c r="R60" t="s">
        <v>203</v>
      </c>
      <c r="S60" t="s">
        <v>1717</v>
      </c>
      <c r="T60" t="s">
        <v>1718</v>
      </c>
      <c r="U60" t="s">
        <v>1647</v>
      </c>
    </row>
    <row r="61" spans="2:21" x14ac:dyDescent="0.2">
      <c r="B61" t="s">
        <v>121</v>
      </c>
      <c r="C61" t="s">
        <v>1390</v>
      </c>
      <c r="D61" t="s">
        <v>121</v>
      </c>
      <c r="E61" t="s">
        <v>121</v>
      </c>
      <c r="F61" t="s">
        <v>1742</v>
      </c>
      <c r="G61" t="s">
        <v>1743</v>
      </c>
      <c r="H61" t="s">
        <v>1647</v>
      </c>
      <c r="K61" t="s">
        <v>121</v>
      </c>
      <c r="M61" t="s">
        <v>211</v>
      </c>
      <c r="Q61" t="s">
        <v>205</v>
      </c>
      <c r="R61" t="s">
        <v>205</v>
      </c>
      <c r="S61" t="s">
        <v>1719</v>
      </c>
      <c r="T61" t="s">
        <v>1720</v>
      </c>
      <c r="U61" t="s">
        <v>1647</v>
      </c>
    </row>
    <row r="62" spans="2:21" x14ac:dyDescent="0.2">
      <c r="B62" t="s">
        <v>123</v>
      </c>
      <c r="C62" t="s">
        <v>1391</v>
      </c>
      <c r="D62" t="s">
        <v>123</v>
      </c>
      <c r="E62" t="s">
        <v>123</v>
      </c>
      <c r="F62" t="s">
        <v>123</v>
      </c>
      <c r="G62" t="s">
        <v>1696</v>
      </c>
      <c r="H62" t="s">
        <v>1647</v>
      </c>
      <c r="K62" t="s">
        <v>123</v>
      </c>
      <c r="M62" t="s">
        <v>213</v>
      </c>
      <c r="Q62" t="s">
        <v>211</v>
      </c>
      <c r="R62" t="s">
        <v>211</v>
      </c>
      <c r="S62" t="s">
        <v>1721</v>
      </c>
      <c r="T62" t="s">
        <v>1722</v>
      </c>
      <c r="U62" t="s">
        <v>1647</v>
      </c>
    </row>
    <row r="63" spans="2:21" x14ac:dyDescent="0.2">
      <c r="B63" t="s">
        <v>125</v>
      </c>
      <c r="C63" t="s">
        <v>1392</v>
      </c>
      <c r="D63" t="s">
        <v>125</v>
      </c>
      <c r="E63" t="s">
        <v>125</v>
      </c>
      <c r="F63" t="s">
        <v>1771</v>
      </c>
      <c r="G63" t="s">
        <v>1772</v>
      </c>
      <c r="H63" t="s">
        <v>1647</v>
      </c>
      <c r="K63" t="s">
        <v>125</v>
      </c>
      <c r="M63" t="s">
        <v>217</v>
      </c>
      <c r="Q63" t="s">
        <v>213</v>
      </c>
      <c r="R63" t="s">
        <v>213</v>
      </c>
      <c r="S63" t="s">
        <v>213</v>
      </c>
      <c r="T63" t="s">
        <v>1646</v>
      </c>
      <c r="U63" t="s">
        <v>1647</v>
      </c>
    </row>
    <row r="64" spans="2:21" x14ac:dyDescent="0.2">
      <c r="B64" t="s">
        <v>127</v>
      </c>
      <c r="C64" t="s">
        <v>1393</v>
      </c>
      <c r="D64" t="s">
        <v>127</v>
      </c>
      <c r="E64" t="s">
        <v>127</v>
      </c>
      <c r="F64" t="s">
        <v>127</v>
      </c>
      <c r="G64" t="s">
        <v>1646</v>
      </c>
      <c r="H64" t="s">
        <v>1647</v>
      </c>
      <c r="K64" t="s">
        <v>127</v>
      </c>
      <c r="M64" t="s">
        <v>221</v>
      </c>
      <c r="Q64" t="s">
        <v>217</v>
      </c>
      <c r="R64" t="s">
        <v>217</v>
      </c>
      <c r="S64" t="s">
        <v>217</v>
      </c>
      <c r="T64" t="s">
        <v>1646</v>
      </c>
      <c r="U64" t="s">
        <v>1647</v>
      </c>
    </row>
    <row r="65" spans="2:21" x14ac:dyDescent="0.2">
      <c r="B65" t="s">
        <v>129</v>
      </c>
      <c r="C65" t="s">
        <v>1394</v>
      </c>
      <c r="D65" t="s">
        <v>129</v>
      </c>
      <c r="E65" t="s">
        <v>129</v>
      </c>
      <c r="F65" t="s">
        <v>1697</v>
      </c>
      <c r="G65" t="s">
        <v>1698</v>
      </c>
      <c r="H65" t="s">
        <v>1647</v>
      </c>
      <c r="K65" t="s">
        <v>129</v>
      </c>
      <c r="M65" t="s">
        <v>225</v>
      </c>
      <c r="Q65" t="s">
        <v>221</v>
      </c>
      <c r="R65" t="s">
        <v>221</v>
      </c>
      <c r="S65" t="s">
        <v>1723</v>
      </c>
      <c r="T65" t="s">
        <v>1724</v>
      </c>
      <c r="U65" t="s">
        <v>1647</v>
      </c>
    </row>
    <row r="66" spans="2:21" x14ac:dyDescent="0.2">
      <c r="B66" t="s">
        <v>131</v>
      </c>
      <c r="C66" t="s">
        <v>1395</v>
      </c>
      <c r="D66" t="s">
        <v>131</v>
      </c>
      <c r="E66" t="s">
        <v>131</v>
      </c>
      <c r="F66" t="s">
        <v>131</v>
      </c>
      <c r="G66" t="s">
        <v>1646</v>
      </c>
      <c r="H66" t="s">
        <v>1647</v>
      </c>
      <c r="K66" t="s">
        <v>131</v>
      </c>
      <c r="M66" t="s">
        <v>229</v>
      </c>
      <c r="Q66" t="s">
        <v>225</v>
      </c>
      <c r="R66" t="s">
        <v>225</v>
      </c>
      <c r="S66" t="s">
        <v>225</v>
      </c>
      <c r="T66" t="s">
        <v>1646</v>
      </c>
      <c r="U66" t="s">
        <v>1647</v>
      </c>
    </row>
    <row r="67" spans="2:21" x14ac:dyDescent="0.2">
      <c r="B67" t="s">
        <v>133</v>
      </c>
      <c r="C67" t="s">
        <v>1396</v>
      </c>
      <c r="D67" t="s">
        <v>133</v>
      </c>
      <c r="E67" t="s">
        <v>133</v>
      </c>
      <c r="F67" t="s">
        <v>133</v>
      </c>
      <c r="G67" t="s">
        <v>1646</v>
      </c>
      <c r="H67" t="s">
        <v>1647</v>
      </c>
      <c r="K67" t="s">
        <v>133</v>
      </c>
      <c r="M67" t="s">
        <v>235</v>
      </c>
      <c r="Q67" t="s">
        <v>229</v>
      </c>
      <c r="R67" t="s">
        <v>229</v>
      </c>
      <c r="S67" t="s">
        <v>1725</v>
      </c>
      <c r="T67" t="s">
        <v>1726</v>
      </c>
      <c r="U67" t="s">
        <v>1647</v>
      </c>
    </row>
    <row r="68" spans="2:21" x14ac:dyDescent="0.2">
      <c r="B68" t="s">
        <v>135</v>
      </c>
      <c r="C68" t="s">
        <v>1397</v>
      </c>
      <c r="D68" t="s">
        <v>135</v>
      </c>
      <c r="E68" t="s">
        <v>135</v>
      </c>
      <c r="F68" t="s">
        <v>1771</v>
      </c>
      <c r="G68" t="s">
        <v>1772</v>
      </c>
      <c r="H68" t="s">
        <v>1647</v>
      </c>
      <c r="K68" t="s">
        <v>135</v>
      </c>
      <c r="M68" t="s">
        <v>237</v>
      </c>
      <c r="Q68" t="s">
        <v>235</v>
      </c>
      <c r="R68" t="s">
        <v>235</v>
      </c>
      <c r="S68" t="s">
        <v>1727</v>
      </c>
      <c r="T68" t="s">
        <v>1728</v>
      </c>
      <c r="U68" t="s">
        <v>1647</v>
      </c>
    </row>
    <row r="69" spans="2:21" x14ac:dyDescent="0.2">
      <c r="B69" t="s">
        <v>137</v>
      </c>
      <c r="C69" t="s">
        <v>1398</v>
      </c>
      <c r="D69" t="s">
        <v>137</v>
      </c>
      <c r="E69" t="s">
        <v>137</v>
      </c>
      <c r="F69" t="s">
        <v>137</v>
      </c>
      <c r="G69" t="s">
        <v>1646</v>
      </c>
      <c r="H69" t="s">
        <v>1647</v>
      </c>
      <c r="K69" t="s">
        <v>137</v>
      </c>
      <c r="M69" t="s">
        <v>243</v>
      </c>
      <c r="Q69" t="s">
        <v>237</v>
      </c>
      <c r="R69" t="s">
        <v>237</v>
      </c>
      <c r="S69" t="s">
        <v>1729</v>
      </c>
      <c r="T69" t="s">
        <v>1730</v>
      </c>
      <c r="U69" t="s">
        <v>1647</v>
      </c>
    </row>
    <row r="70" spans="2:21" x14ac:dyDescent="0.2">
      <c r="B70" t="s">
        <v>139</v>
      </c>
      <c r="C70" t="s">
        <v>1399</v>
      </c>
      <c r="D70" t="s">
        <v>139</v>
      </c>
      <c r="E70" t="s">
        <v>139</v>
      </c>
      <c r="F70" t="s">
        <v>1736</v>
      </c>
      <c r="G70" t="s">
        <v>1737</v>
      </c>
      <c r="H70" t="s">
        <v>1647</v>
      </c>
      <c r="K70" t="s">
        <v>139</v>
      </c>
      <c r="M70" t="s">
        <v>245</v>
      </c>
      <c r="Q70" t="s">
        <v>243</v>
      </c>
      <c r="R70" t="s">
        <v>243</v>
      </c>
      <c r="S70" t="s">
        <v>243</v>
      </c>
      <c r="T70" t="s">
        <v>1731</v>
      </c>
      <c r="U70" t="s">
        <v>1647</v>
      </c>
    </row>
    <row r="71" spans="2:21" x14ac:dyDescent="0.2">
      <c r="B71" t="s">
        <v>141</v>
      </c>
      <c r="C71" t="s">
        <v>1400</v>
      </c>
      <c r="D71" t="s">
        <v>141</v>
      </c>
      <c r="E71" t="s">
        <v>141</v>
      </c>
      <c r="F71" t="s">
        <v>141</v>
      </c>
      <c r="G71" t="s">
        <v>1646</v>
      </c>
      <c r="H71" t="s">
        <v>1647</v>
      </c>
      <c r="K71" t="s">
        <v>141</v>
      </c>
      <c r="M71" t="s">
        <v>247</v>
      </c>
      <c r="Q71" t="s">
        <v>245</v>
      </c>
      <c r="R71" t="s">
        <v>245</v>
      </c>
      <c r="S71" t="s">
        <v>1732</v>
      </c>
      <c r="T71" t="s">
        <v>1733</v>
      </c>
      <c r="U71" t="s">
        <v>1647</v>
      </c>
    </row>
    <row r="72" spans="2:21" x14ac:dyDescent="0.2">
      <c r="B72" t="s">
        <v>143</v>
      </c>
      <c r="C72" t="s">
        <v>1401</v>
      </c>
      <c r="D72" t="s">
        <v>143</v>
      </c>
      <c r="E72" t="s">
        <v>143</v>
      </c>
      <c r="F72" t="s">
        <v>1868</v>
      </c>
      <c r="G72" t="s">
        <v>1869</v>
      </c>
      <c r="H72" t="s">
        <v>1647</v>
      </c>
      <c r="K72" t="s">
        <v>143</v>
      </c>
      <c r="M72" t="s">
        <v>249</v>
      </c>
      <c r="Q72" t="s">
        <v>247</v>
      </c>
      <c r="R72" t="s">
        <v>247</v>
      </c>
      <c r="S72" t="s">
        <v>1734</v>
      </c>
      <c r="T72" t="s">
        <v>1735</v>
      </c>
      <c r="U72" t="s">
        <v>1647</v>
      </c>
    </row>
    <row r="73" spans="2:21" x14ac:dyDescent="0.2">
      <c r="B73" t="s">
        <v>145</v>
      </c>
      <c r="C73" t="s">
        <v>1402</v>
      </c>
      <c r="D73" t="s">
        <v>145</v>
      </c>
      <c r="E73" t="s">
        <v>145</v>
      </c>
      <c r="F73" t="s">
        <v>1748</v>
      </c>
      <c r="G73" t="s">
        <v>1749</v>
      </c>
      <c r="H73" t="s">
        <v>1647</v>
      </c>
      <c r="K73" t="s">
        <v>145</v>
      </c>
      <c r="M73" t="s">
        <v>139</v>
      </c>
      <c r="Q73" t="s">
        <v>249</v>
      </c>
      <c r="R73" t="s">
        <v>249</v>
      </c>
      <c r="S73" t="s">
        <v>249</v>
      </c>
      <c r="T73" t="s">
        <v>1646</v>
      </c>
      <c r="U73" t="s">
        <v>1647</v>
      </c>
    </row>
    <row r="74" spans="2:21" x14ac:dyDescent="0.2">
      <c r="B74" t="s">
        <v>147</v>
      </c>
      <c r="C74" t="s">
        <v>1403</v>
      </c>
      <c r="D74" t="s">
        <v>147</v>
      </c>
      <c r="E74" t="s">
        <v>147</v>
      </c>
      <c r="F74" t="s">
        <v>1888</v>
      </c>
      <c r="G74" t="s">
        <v>1889</v>
      </c>
      <c r="H74" t="s">
        <v>1647</v>
      </c>
      <c r="K74" t="s">
        <v>147</v>
      </c>
      <c r="M74" t="s">
        <v>293</v>
      </c>
      <c r="Q74" t="s">
        <v>139</v>
      </c>
      <c r="R74" t="s">
        <v>139</v>
      </c>
      <c r="S74" t="s">
        <v>1736</v>
      </c>
      <c r="T74" t="s">
        <v>1737</v>
      </c>
      <c r="U74" t="s">
        <v>1647</v>
      </c>
    </row>
    <row r="75" spans="2:21" x14ac:dyDescent="0.2">
      <c r="B75" t="s">
        <v>149</v>
      </c>
      <c r="C75" t="s">
        <v>1404</v>
      </c>
      <c r="D75" t="s">
        <v>149</v>
      </c>
      <c r="E75" t="s">
        <v>149</v>
      </c>
      <c r="F75" t="s">
        <v>1786</v>
      </c>
      <c r="G75" t="s">
        <v>1646</v>
      </c>
      <c r="H75" t="s">
        <v>1647</v>
      </c>
      <c r="K75" t="s">
        <v>149</v>
      </c>
      <c r="M75" t="s">
        <v>189</v>
      </c>
      <c r="Q75" t="s">
        <v>293</v>
      </c>
      <c r="R75" t="s">
        <v>293</v>
      </c>
      <c r="S75" t="s">
        <v>1738</v>
      </c>
      <c r="T75" t="s">
        <v>1739</v>
      </c>
      <c r="U75" t="s">
        <v>1647</v>
      </c>
    </row>
    <row r="76" spans="2:21" x14ac:dyDescent="0.2">
      <c r="B76" t="s">
        <v>151</v>
      </c>
      <c r="C76" t="s">
        <v>1405</v>
      </c>
      <c r="D76" t="s">
        <v>151</v>
      </c>
      <c r="E76" t="s">
        <v>151</v>
      </c>
      <c r="F76" t="s">
        <v>1699</v>
      </c>
      <c r="G76" t="s">
        <v>1700</v>
      </c>
      <c r="H76" t="s">
        <v>1647</v>
      </c>
      <c r="K76" t="s">
        <v>151</v>
      </c>
      <c r="M76" t="s">
        <v>121</v>
      </c>
      <c r="Q76" t="s">
        <v>189</v>
      </c>
      <c r="R76" t="s">
        <v>189</v>
      </c>
      <c r="S76" t="s">
        <v>1740</v>
      </c>
      <c r="T76" t="s">
        <v>1741</v>
      </c>
      <c r="U76" t="s">
        <v>1647</v>
      </c>
    </row>
    <row r="77" spans="2:21" x14ac:dyDescent="0.2">
      <c r="B77" t="s">
        <v>153</v>
      </c>
      <c r="C77" t="s">
        <v>1406</v>
      </c>
      <c r="D77" t="s">
        <v>153</v>
      </c>
      <c r="E77" t="s">
        <v>153</v>
      </c>
      <c r="F77" t="s">
        <v>1701</v>
      </c>
      <c r="G77" t="s">
        <v>1702</v>
      </c>
      <c r="H77" t="s">
        <v>1647</v>
      </c>
      <c r="K77" t="s">
        <v>153</v>
      </c>
      <c r="M77" t="s">
        <v>511</v>
      </c>
      <c r="Q77" t="s">
        <v>121</v>
      </c>
      <c r="R77" t="s">
        <v>121</v>
      </c>
      <c r="S77" t="s">
        <v>1742</v>
      </c>
      <c r="T77" t="s">
        <v>1743</v>
      </c>
      <c r="U77" t="s">
        <v>1647</v>
      </c>
    </row>
    <row r="78" spans="2:21" x14ac:dyDescent="0.2">
      <c r="B78" t="s">
        <v>155</v>
      </c>
      <c r="C78" t="s">
        <v>1407</v>
      </c>
      <c r="D78" t="s">
        <v>155</v>
      </c>
      <c r="E78" t="s">
        <v>155</v>
      </c>
      <c r="F78" t="s">
        <v>1703</v>
      </c>
      <c r="G78" t="s">
        <v>1704</v>
      </c>
      <c r="H78" t="s">
        <v>1647</v>
      </c>
      <c r="K78" t="s">
        <v>155</v>
      </c>
      <c r="M78" t="s">
        <v>326</v>
      </c>
      <c r="Q78" t="s">
        <v>511</v>
      </c>
      <c r="R78" t="s">
        <v>511</v>
      </c>
      <c r="S78" t="s">
        <v>1744</v>
      </c>
      <c r="T78" t="s">
        <v>1745</v>
      </c>
      <c r="U78" t="s">
        <v>1647</v>
      </c>
    </row>
    <row r="79" spans="2:21" x14ac:dyDescent="0.2">
      <c r="B79" t="s">
        <v>157</v>
      </c>
      <c r="C79" t="s">
        <v>1408</v>
      </c>
      <c r="D79" t="s">
        <v>157</v>
      </c>
      <c r="E79" t="s">
        <v>157</v>
      </c>
      <c r="F79" t="s">
        <v>1656</v>
      </c>
      <c r="G79" t="s">
        <v>1657</v>
      </c>
      <c r="H79" t="s">
        <v>1647</v>
      </c>
      <c r="K79" t="s">
        <v>157</v>
      </c>
      <c r="M79" t="s">
        <v>145</v>
      </c>
      <c r="Q79" t="s">
        <v>326</v>
      </c>
      <c r="R79" t="s">
        <v>326</v>
      </c>
      <c r="S79" t="s">
        <v>1746</v>
      </c>
      <c r="T79" t="s">
        <v>1747</v>
      </c>
      <c r="U79" t="s">
        <v>1647</v>
      </c>
    </row>
    <row r="80" spans="2:21" x14ac:dyDescent="0.2">
      <c r="B80" t="s">
        <v>159</v>
      </c>
      <c r="C80" t="s">
        <v>1409</v>
      </c>
      <c r="D80" t="s">
        <v>159</v>
      </c>
      <c r="E80" t="s">
        <v>159</v>
      </c>
      <c r="F80" t="s">
        <v>159</v>
      </c>
      <c r="G80" t="s">
        <v>1646</v>
      </c>
      <c r="H80" t="s">
        <v>1647</v>
      </c>
      <c r="K80" t="s">
        <v>159</v>
      </c>
      <c r="M80" t="s">
        <v>426</v>
      </c>
      <c r="Q80" t="s">
        <v>145</v>
      </c>
      <c r="R80" t="s">
        <v>145</v>
      </c>
      <c r="S80" t="s">
        <v>1748</v>
      </c>
      <c r="T80" t="s">
        <v>1749</v>
      </c>
      <c r="U80" t="s">
        <v>1647</v>
      </c>
    </row>
    <row r="81" spans="2:21" x14ac:dyDescent="0.2">
      <c r="B81" t="s">
        <v>161</v>
      </c>
      <c r="C81" t="s">
        <v>1410</v>
      </c>
      <c r="D81" t="s">
        <v>161</v>
      </c>
      <c r="E81" t="s">
        <v>161</v>
      </c>
      <c r="F81" t="s">
        <v>161</v>
      </c>
      <c r="G81" t="s">
        <v>1646</v>
      </c>
      <c r="H81" t="s">
        <v>1647</v>
      </c>
      <c r="K81" t="s">
        <v>161</v>
      </c>
      <c r="M81" t="s">
        <v>324</v>
      </c>
      <c r="Q81" t="s">
        <v>426</v>
      </c>
      <c r="R81" t="s">
        <v>426</v>
      </c>
      <c r="S81" t="s">
        <v>1750</v>
      </c>
      <c r="T81" t="s">
        <v>1751</v>
      </c>
      <c r="U81" t="s">
        <v>1647</v>
      </c>
    </row>
    <row r="82" spans="2:21" x14ac:dyDescent="0.2">
      <c r="B82" t="s">
        <v>163</v>
      </c>
      <c r="C82" t="s">
        <v>1411</v>
      </c>
      <c r="D82" t="s">
        <v>163</v>
      </c>
      <c r="E82" t="s">
        <v>163</v>
      </c>
      <c r="F82" t="s">
        <v>1752</v>
      </c>
      <c r="G82" t="s">
        <v>1753</v>
      </c>
      <c r="H82" t="s">
        <v>1647</v>
      </c>
      <c r="K82" t="s">
        <v>163</v>
      </c>
      <c r="M82" t="s">
        <v>430</v>
      </c>
      <c r="Q82" t="s">
        <v>324</v>
      </c>
      <c r="R82" t="s">
        <v>324</v>
      </c>
      <c r="S82" t="s">
        <v>324</v>
      </c>
      <c r="T82" t="s">
        <v>1646</v>
      </c>
      <c r="U82" t="s">
        <v>1647</v>
      </c>
    </row>
    <row r="83" spans="2:21" x14ac:dyDescent="0.2">
      <c r="B83" t="s">
        <v>165</v>
      </c>
      <c r="C83" t="s">
        <v>1412</v>
      </c>
      <c r="D83" t="s">
        <v>165</v>
      </c>
      <c r="E83" t="s">
        <v>165</v>
      </c>
      <c r="F83" t="s">
        <v>1709</v>
      </c>
      <c r="G83" t="s">
        <v>1710</v>
      </c>
      <c r="H83" t="s">
        <v>1647</v>
      </c>
      <c r="K83" t="s">
        <v>165</v>
      </c>
      <c r="M83" t="s">
        <v>163</v>
      </c>
      <c r="Q83" t="s">
        <v>430</v>
      </c>
      <c r="R83" t="s">
        <v>430</v>
      </c>
      <c r="S83" t="s">
        <v>1719</v>
      </c>
      <c r="T83" t="s">
        <v>1720</v>
      </c>
      <c r="U83" t="s">
        <v>1647</v>
      </c>
    </row>
    <row r="84" spans="2:21" x14ac:dyDescent="0.2">
      <c r="B84" t="s">
        <v>167</v>
      </c>
      <c r="C84" t="s">
        <v>1413</v>
      </c>
      <c r="D84" t="s">
        <v>167</v>
      </c>
      <c r="E84" t="s">
        <v>167</v>
      </c>
      <c r="F84" t="s">
        <v>1894</v>
      </c>
      <c r="G84" t="s">
        <v>1733</v>
      </c>
      <c r="H84" t="s">
        <v>1647</v>
      </c>
      <c r="K84" t="s">
        <v>167</v>
      </c>
      <c r="M84" t="s">
        <v>428</v>
      </c>
      <c r="Q84" t="s">
        <v>163</v>
      </c>
      <c r="R84" t="s">
        <v>163</v>
      </c>
      <c r="S84" t="s">
        <v>1752</v>
      </c>
      <c r="T84" t="s">
        <v>1753</v>
      </c>
      <c r="U84" t="s">
        <v>1647</v>
      </c>
    </row>
    <row r="85" spans="2:21" x14ac:dyDescent="0.2">
      <c r="B85" t="s">
        <v>169</v>
      </c>
      <c r="C85" t="s">
        <v>1414</v>
      </c>
      <c r="D85" t="s">
        <v>169</v>
      </c>
      <c r="E85" t="s">
        <v>169</v>
      </c>
      <c r="F85" t="s">
        <v>1705</v>
      </c>
      <c r="G85" t="s">
        <v>1706</v>
      </c>
      <c r="H85" t="s">
        <v>1647</v>
      </c>
      <c r="K85" t="s">
        <v>169</v>
      </c>
      <c r="M85" t="s">
        <v>460</v>
      </c>
      <c r="Q85" t="s">
        <v>428</v>
      </c>
      <c r="R85" t="s">
        <v>428</v>
      </c>
      <c r="S85" t="s">
        <v>428</v>
      </c>
      <c r="T85" t="s">
        <v>1754</v>
      </c>
      <c r="U85" t="s">
        <v>1647</v>
      </c>
    </row>
    <row r="86" spans="2:21" x14ac:dyDescent="0.2">
      <c r="B86" t="s">
        <v>171</v>
      </c>
      <c r="C86" t="s">
        <v>1415</v>
      </c>
      <c r="D86" t="s">
        <v>171</v>
      </c>
      <c r="E86" t="s">
        <v>171</v>
      </c>
      <c r="F86" t="s">
        <v>1784</v>
      </c>
      <c r="G86" t="s">
        <v>1785</v>
      </c>
      <c r="H86" t="s">
        <v>1647</v>
      </c>
      <c r="K86" t="s">
        <v>171</v>
      </c>
      <c r="M86" t="s">
        <v>420</v>
      </c>
      <c r="Q86" t="s">
        <v>460</v>
      </c>
      <c r="R86" t="s">
        <v>460</v>
      </c>
      <c r="S86" t="s">
        <v>1755</v>
      </c>
      <c r="T86" t="s">
        <v>1756</v>
      </c>
      <c r="U86" t="s">
        <v>1647</v>
      </c>
    </row>
    <row r="87" spans="2:21" x14ac:dyDescent="0.2">
      <c r="B87" t="s">
        <v>173</v>
      </c>
      <c r="C87" t="s">
        <v>1416</v>
      </c>
      <c r="D87" t="s">
        <v>173</v>
      </c>
      <c r="E87" t="s">
        <v>173</v>
      </c>
      <c r="F87" t="s">
        <v>1801</v>
      </c>
      <c r="G87" t="s">
        <v>1802</v>
      </c>
      <c r="H87" t="s">
        <v>1647</v>
      </c>
      <c r="K87" t="s">
        <v>173</v>
      </c>
      <c r="M87" t="s">
        <v>79</v>
      </c>
      <c r="Q87" t="s">
        <v>420</v>
      </c>
      <c r="R87" t="s">
        <v>420</v>
      </c>
      <c r="S87" t="s">
        <v>420</v>
      </c>
      <c r="T87" t="s">
        <v>1646</v>
      </c>
      <c r="U87" t="s">
        <v>1647</v>
      </c>
    </row>
    <row r="88" spans="2:21" x14ac:dyDescent="0.2">
      <c r="B88" t="s">
        <v>175</v>
      </c>
      <c r="C88" t="s">
        <v>1417</v>
      </c>
      <c r="D88" t="s">
        <v>175</v>
      </c>
      <c r="E88" t="s">
        <v>175</v>
      </c>
      <c r="F88" t="s">
        <v>175</v>
      </c>
      <c r="G88" t="s">
        <v>1887</v>
      </c>
      <c r="H88" t="s">
        <v>1647</v>
      </c>
      <c r="K88" t="s">
        <v>175</v>
      </c>
      <c r="M88" t="s">
        <v>378</v>
      </c>
      <c r="Q88" t="s">
        <v>79</v>
      </c>
      <c r="R88" t="s">
        <v>79</v>
      </c>
      <c r="S88" t="s">
        <v>79</v>
      </c>
      <c r="T88" t="s">
        <v>1646</v>
      </c>
      <c r="U88" t="s">
        <v>1647</v>
      </c>
    </row>
    <row r="89" spans="2:21" x14ac:dyDescent="0.2">
      <c r="B89" t="s">
        <v>177</v>
      </c>
      <c r="C89" t="s">
        <v>1418</v>
      </c>
      <c r="D89" t="s">
        <v>177</v>
      </c>
      <c r="E89" t="s">
        <v>177</v>
      </c>
      <c r="F89" t="s">
        <v>177</v>
      </c>
      <c r="G89" t="s">
        <v>1646</v>
      </c>
      <c r="H89" t="s">
        <v>1647</v>
      </c>
      <c r="K89" t="s">
        <v>177</v>
      </c>
      <c r="M89" t="s">
        <v>115</v>
      </c>
      <c r="Q89" t="s">
        <v>378</v>
      </c>
      <c r="R89" t="s">
        <v>378</v>
      </c>
      <c r="S89" t="s">
        <v>378</v>
      </c>
      <c r="T89" t="s">
        <v>1646</v>
      </c>
      <c r="U89" t="s">
        <v>1647</v>
      </c>
    </row>
    <row r="90" spans="2:21" x14ac:dyDescent="0.2">
      <c r="B90" t="s">
        <v>179</v>
      </c>
      <c r="C90" t="s">
        <v>1419</v>
      </c>
      <c r="D90" t="s">
        <v>179</v>
      </c>
      <c r="E90" t="s">
        <v>179</v>
      </c>
      <c r="F90" t="s">
        <v>1707</v>
      </c>
      <c r="G90" t="s">
        <v>1708</v>
      </c>
      <c r="H90" t="s">
        <v>1647</v>
      </c>
      <c r="K90" t="s">
        <v>179</v>
      </c>
      <c r="M90" t="s">
        <v>492</v>
      </c>
      <c r="Q90" t="s">
        <v>115</v>
      </c>
      <c r="R90" t="s">
        <v>115</v>
      </c>
      <c r="S90" t="s">
        <v>1757</v>
      </c>
      <c r="T90" t="s">
        <v>1758</v>
      </c>
      <c r="U90" t="s">
        <v>1647</v>
      </c>
    </row>
    <row r="91" spans="2:21" x14ac:dyDescent="0.2">
      <c r="B91" t="s">
        <v>181</v>
      </c>
      <c r="C91" t="s">
        <v>1420</v>
      </c>
      <c r="D91" t="s">
        <v>181</v>
      </c>
      <c r="E91" t="s">
        <v>181</v>
      </c>
      <c r="F91" t="s">
        <v>1709</v>
      </c>
      <c r="G91" t="s">
        <v>1710</v>
      </c>
      <c r="H91" t="s">
        <v>1647</v>
      </c>
      <c r="K91" t="s">
        <v>181</v>
      </c>
      <c r="M91" t="s">
        <v>259</v>
      </c>
      <c r="Q91" t="s">
        <v>492</v>
      </c>
      <c r="R91" t="s">
        <v>492</v>
      </c>
      <c r="S91" t="s">
        <v>1759</v>
      </c>
      <c r="T91" t="s">
        <v>1760</v>
      </c>
      <c r="U91" t="s">
        <v>1647</v>
      </c>
    </row>
    <row r="92" spans="2:21" x14ac:dyDescent="0.2">
      <c r="B92" t="s">
        <v>183</v>
      </c>
      <c r="C92" t="s">
        <v>1421</v>
      </c>
      <c r="D92" t="s">
        <v>183</v>
      </c>
      <c r="E92" t="s">
        <v>183</v>
      </c>
      <c r="F92" t="s">
        <v>1711</v>
      </c>
      <c r="G92" t="s">
        <v>1712</v>
      </c>
      <c r="H92" t="s">
        <v>1647</v>
      </c>
      <c r="K92" t="s">
        <v>183</v>
      </c>
      <c r="M92" t="s">
        <v>576</v>
      </c>
      <c r="Q92" t="s">
        <v>259</v>
      </c>
      <c r="R92" t="s">
        <v>259</v>
      </c>
      <c r="S92" t="s">
        <v>259</v>
      </c>
      <c r="T92" t="s">
        <v>1646</v>
      </c>
      <c r="U92" t="s">
        <v>1647</v>
      </c>
    </row>
    <row r="93" spans="2:21" x14ac:dyDescent="0.2">
      <c r="B93" t="s">
        <v>185</v>
      </c>
      <c r="C93" t="s">
        <v>1422</v>
      </c>
      <c r="D93" t="s">
        <v>185</v>
      </c>
      <c r="E93" t="s">
        <v>185</v>
      </c>
      <c r="F93" t="s">
        <v>1678</v>
      </c>
      <c r="G93" t="s">
        <v>1679</v>
      </c>
      <c r="H93" t="s">
        <v>1647</v>
      </c>
      <c r="K93" t="s">
        <v>185</v>
      </c>
      <c r="M93" t="s">
        <v>541</v>
      </c>
      <c r="Q93" t="s">
        <v>576</v>
      </c>
      <c r="R93" t="s">
        <v>576</v>
      </c>
      <c r="S93" t="s">
        <v>576</v>
      </c>
      <c r="T93" t="s">
        <v>1646</v>
      </c>
      <c r="U93" t="s">
        <v>1647</v>
      </c>
    </row>
    <row r="94" spans="2:21" x14ac:dyDescent="0.2">
      <c r="B94" t="s">
        <v>187</v>
      </c>
      <c r="C94" t="s">
        <v>1423</v>
      </c>
      <c r="D94" t="s">
        <v>187</v>
      </c>
      <c r="E94" t="s">
        <v>187</v>
      </c>
      <c r="F94" t="s">
        <v>1895</v>
      </c>
      <c r="G94" t="s">
        <v>1896</v>
      </c>
      <c r="H94" t="s">
        <v>1647</v>
      </c>
      <c r="K94" t="s">
        <v>187</v>
      </c>
      <c r="M94" t="s">
        <v>285</v>
      </c>
      <c r="Q94" t="s">
        <v>541</v>
      </c>
      <c r="R94" t="s">
        <v>541</v>
      </c>
      <c r="S94" t="s">
        <v>1761</v>
      </c>
      <c r="T94" t="s">
        <v>1762</v>
      </c>
      <c r="U94" t="s">
        <v>1647</v>
      </c>
    </row>
    <row r="95" spans="2:21" x14ac:dyDescent="0.2">
      <c r="B95" t="s">
        <v>189</v>
      </c>
      <c r="C95" t="s">
        <v>1424</v>
      </c>
      <c r="D95" t="s">
        <v>189</v>
      </c>
      <c r="E95" t="s">
        <v>189</v>
      </c>
      <c r="F95" t="s">
        <v>1740</v>
      </c>
      <c r="G95" t="s">
        <v>1741</v>
      </c>
      <c r="H95" t="s">
        <v>1647</v>
      </c>
      <c r="K95" t="s">
        <v>189</v>
      </c>
      <c r="M95" t="s">
        <v>350</v>
      </c>
      <c r="Q95" t="s">
        <v>285</v>
      </c>
      <c r="R95" t="s">
        <v>285</v>
      </c>
      <c r="S95" t="s">
        <v>285</v>
      </c>
      <c r="T95" t="s">
        <v>1646</v>
      </c>
      <c r="U95" t="s">
        <v>1647</v>
      </c>
    </row>
    <row r="96" spans="2:21" x14ac:dyDescent="0.2">
      <c r="B96" t="s">
        <v>191</v>
      </c>
      <c r="C96" t="s">
        <v>1425</v>
      </c>
      <c r="D96" t="s">
        <v>191</v>
      </c>
      <c r="E96" t="s">
        <v>191</v>
      </c>
      <c r="F96" t="s">
        <v>1713</v>
      </c>
      <c r="G96" t="s">
        <v>1714</v>
      </c>
      <c r="H96" t="s">
        <v>1647</v>
      </c>
      <c r="K96" t="s">
        <v>191</v>
      </c>
      <c r="M96" t="s">
        <v>344</v>
      </c>
      <c r="Q96" t="s">
        <v>350</v>
      </c>
      <c r="R96" t="s">
        <v>350</v>
      </c>
      <c r="S96" t="s">
        <v>1763</v>
      </c>
      <c r="T96" t="s">
        <v>1764</v>
      </c>
      <c r="U96" t="s">
        <v>1647</v>
      </c>
    </row>
    <row r="97" spans="2:21" x14ac:dyDescent="0.2">
      <c r="B97" t="s">
        <v>193</v>
      </c>
      <c r="C97" t="s">
        <v>1426</v>
      </c>
      <c r="D97" t="s">
        <v>193</v>
      </c>
      <c r="E97" t="s">
        <v>193</v>
      </c>
      <c r="F97" t="s">
        <v>1715</v>
      </c>
      <c r="G97" t="s">
        <v>1716</v>
      </c>
      <c r="H97" t="s">
        <v>1647</v>
      </c>
      <c r="K97" t="s">
        <v>193</v>
      </c>
      <c r="M97" t="s">
        <v>448</v>
      </c>
      <c r="Q97" t="s">
        <v>344</v>
      </c>
      <c r="R97" t="s">
        <v>344</v>
      </c>
      <c r="S97" t="s">
        <v>1765</v>
      </c>
      <c r="T97" t="s">
        <v>1766</v>
      </c>
      <c r="U97" t="s">
        <v>1647</v>
      </c>
    </row>
    <row r="98" spans="2:21" x14ac:dyDescent="0.2">
      <c r="B98" t="s">
        <v>195</v>
      </c>
      <c r="C98" t="s">
        <v>1427</v>
      </c>
      <c r="D98" t="s">
        <v>195</v>
      </c>
      <c r="E98" t="s">
        <v>195</v>
      </c>
      <c r="F98" t="s">
        <v>1899</v>
      </c>
      <c r="G98" t="s">
        <v>1900</v>
      </c>
      <c r="H98" t="s">
        <v>1647</v>
      </c>
      <c r="K98" t="s">
        <v>195</v>
      </c>
      <c r="M98" t="s">
        <v>83</v>
      </c>
      <c r="Q98" t="s">
        <v>448</v>
      </c>
      <c r="R98" t="s">
        <v>448</v>
      </c>
      <c r="S98" t="s">
        <v>1767</v>
      </c>
      <c r="T98" t="s">
        <v>1768</v>
      </c>
      <c r="U98" t="s">
        <v>1647</v>
      </c>
    </row>
    <row r="99" spans="2:21" x14ac:dyDescent="0.2">
      <c r="B99" t="s">
        <v>197</v>
      </c>
      <c r="C99" t="s">
        <v>1428</v>
      </c>
      <c r="D99" t="s">
        <v>197</v>
      </c>
      <c r="E99" t="s">
        <v>197</v>
      </c>
      <c r="F99" t="s">
        <v>197</v>
      </c>
      <c r="G99" t="s">
        <v>1646</v>
      </c>
      <c r="H99" t="s">
        <v>1647</v>
      </c>
      <c r="K99" t="s">
        <v>197</v>
      </c>
      <c r="M99" t="s">
        <v>394</v>
      </c>
      <c r="Q99" t="s">
        <v>83</v>
      </c>
      <c r="R99" t="s">
        <v>83</v>
      </c>
      <c r="S99" t="s">
        <v>1769</v>
      </c>
      <c r="T99" t="s">
        <v>1770</v>
      </c>
      <c r="U99" t="s">
        <v>1647</v>
      </c>
    </row>
    <row r="100" spans="2:21" x14ac:dyDescent="0.2">
      <c r="B100" t="s">
        <v>199</v>
      </c>
      <c r="C100" t="s">
        <v>1429</v>
      </c>
      <c r="D100" t="s">
        <v>199</v>
      </c>
      <c r="E100" t="s">
        <v>199</v>
      </c>
      <c r="F100" t="s">
        <v>1878</v>
      </c>
      <c r="G100" t="s">
        <v>1879</v>
      </c>
      <c r="H100" t="s">
        <v>1647</v>
      </c>
      <c r="K100" t="s">
        <v>199</v>
      </c>
      <c r="M100" t="s">
        <v>29</v>
      </c>
      <c r="Q100" t="s">
        <v>394</v>
      </c>
      <c r="R100" t="s">
        <v>394</v>
      </c>
      <c r="S100" t="s">
        <v>1771</v>
      </c>
      <c r="T100" t="s">
        <v>1772</v>
      </c>
      <c r="U100" t="s">
        <v>1647</v>
      </c>
    </row>
    <row r="101" spans="2:21" x14ac:dyDescent="0.2">
      <c r="B101" t="s">
        <v>201</v>
      </c>
      <c r="C101" t="s">
        <v>1430</v>
      </c>
      <c r="D101" t="s">
        <v>201</v>
      </c>
      <c r="E101" t="s">
        <v>201</v>
      </c>
      <c r="F101" t="s">
        <v>201</v>
      </c>
      <c r="G101" t="s">
        <v>1646</v>
      </c>
      <c r="H101" t="s">
        <v>1647</v>
      </c>
      <c r="K101" t="s">
        <v>201</v>
      </c>
      <c r="M101" t="s">
        <v>251</v>
      </c>
      <c r="Q101" t="s">
        <v>29</v>
      </c>
      <c r="R101" t="s">
        <v>29</v>
      </c>
      <c r="S101" t="s">
        <v>1769</v>
      </c>
      <c r="T101" t="s">
        <v>1770</v>
      </c>
      <c r="U101" t="s">
        <v>1647</v>
      </c>
    </row>
    <row r="102" spans="2:21" x14ac:dyDescent="0.2">
      <c r="B102" t="s">
        <v>203</v>
      </c>
      <c r="C102" t="s">
        <v>1431</v>
      </c>
      <c r="D102" t="s">
        <v>203</v>
      </c>
      <c r="E102" t="s">
        <v>203</v>
      </c>
      <c r="F102" t="s">
        <v>1717</v>
      </c>
      <c r="G102" t="s">
        <v>1718</v>
      </c>
      <c r="H102" t="s">
        <v>1647</v>
      </c>
      <c r="K102" t="s">
        <v>203</v>
      </c>
      <c r="M102" t="s">
        <v>578</v>
      </c>
      <c r="Q102" t="s">
        <v>251</v>
      </c>
      <c r="R102" t="s">
        <v>251</v>
      </c>
      <c r="S102" t="s">
        <v>251</v>
      </c>
      <c r="T102" t="s">
        <v>1646</v>
      </c>
      <c r="U102" t="s">
        <v>1647</v>
      </c>
    </row>
    <row r="103" spans="2:21" x14ac:dyDescent="0.2">
      <c r="B103" t="s">
        <v>205</v>
      </c>
      <c r="C103" t="s">
        <v>1432</v>
      </c>
      <c r="D103" t="s">
        <v>205</v>
      </c>
      <c r="E103" t="s">
        <v>205</v>
      </c>
      <c r="F103" t="s">
        <v>1719</v>
      </c>
      <c r="G103" t="s">
        <v>1720</v>
      </c>
      <c r="H103" t="s">
        <v>1647</v>
      </c>
      <c r="K103" t="s">
        <v>205</v>
      </c>
      <c r="M103" t="s">
        <v>338</v>
      </c>
      <c r="Q103" t="s">
        <v>578</v>
      </c>
      <c r="R103" t="s">
        <v>578</v>
      </c>
      <c r="S103" t="s">
        <v>578</v>
      </c>
      <c r="T103" t="s">
        <v>1646</v>
      </c>
      <c r="U103" t="s">
        <v>1647</v>
      </c>
    </row>
    <row r="104" spans="2:21" x14ac:dyDescent="0.2">
      <c r="B104" t="s">
        <v>207</v>
      </c>
      <c r="C104" t="s">
        <v>1433</v>
      </c>
      <c r="D104" t="s">
        <v>207</v>
      </c>
      <c r="E104" t="s">
        <v>207</v>
      </c>
      <c r="F104" t="s">
        <v>207</v>
      </c>
      <c r="G104" t="s">
        <v>1646</v>
      </c>
      <c r="H104" t="s">
        <v>1647</v>
      </c>
      <c r="K104" t="s">
        <v>207</v>
      </c>
      <c r="M104" t="s">
        <v>289</v>
      </c>
      <c r="Q104" t="s">
        <v>338</v>
      </c>
      <c r="R104" t="s">
        <v>338</v>
      </c>
      <c r="S104" t="s">
        <v>338</v>
      </c>
      <c r="T104" t="s">
        <v>1646</v>
      </c>
      <c r="U104" t="s">
        <v>1647</v>
      </c>
    </row>
    <row r="105" spans="2:21" x14ac:dyDescent="0.2">
      <c r="B105" t="s">
        <v>209</v>
      </c>
      <c r="C105" t="s">
        <v>1434</v>
      </c>
      <c r="D105" t="s">
        <v>209</v>
      </c>
      <c r="E105" t="s">
        <v>209</v>
      </c>
      <c r="F105" t="s">
        <v>1904</v>
      </c>
      <c r="G105" t="s">
        <v>1905</v>
      </c>
      <c r="H105" t="s">
        <v>1647</v>
      </c>
      <c r="K105" t="s">
        <v>209</v>
      </c>
      <c r="M105" t="s">
        <v>322</v>
      </c>
      <c r="Q105" t="s">
        <v>289</v>
      </c>
      <c r="R105" t="s">
        <v>289</v>
      </c>
      <c r="S105" t="s">
        <v>289</v>
      </c>
      <c r="T105" t="s">
        <v>1646</v>
      </c>
      <c r="U105" t="s">
        <v>1647</v>
      </c>
    </row>
    <row r="106" spans="2:21" x14ac:dyDescent="0.2">
      <c r="B106" t="s">
        <v>211</v>
      </c>
      <c r="C106" t="s">
        <v>1435</v>
      </c>
      <c r="D106" t="s">
        <v>211</v>
      </c>
      <c r="E106" t="s">
        <v>211</v>
      </c>
      <c r="F106" t="s">
        <v>1721</v>
      </c>
      <c r="G106" t="s">
        <v>1722</v>
      </c>
      <c r="H106" t="s">
        <v>1647</v>
      </c>
      <c r="K106" t="s">
        <v>211</v>
      </c>
      <c r="M106" t="s">
        <v>562</v>
      </c>
      <c r="Q106" t="s">
        <v>322</v>
      </c>
      <c r="R106" t="s">
        <v>322</v>
      </c>
      <c r="S106" t="s">
        <v>1773</v>
      </c>
      <c r="T106" t="s">
        <v>1774</v>
      </c>
      <c r="U106" t="s">
        <v>1647</v>
      </c>
    </row>
    <row r="107" spans="2:21" x14ac:dyDescent="0.2">
      <c r="B107" t="s">
        <v>213</v>
      </c>
      <c r="C107" t="s">
        <v>1436</v>
      </c>
      <c r="D107" t="s">
        <v>213</v>
      </c>
      <c r="E107" t="s">
        <v>213</v>
      </c>
      <c r="F107" t="s">
        <v>213</v>
      </c>
      <c r="G107" t="s">
        <v>1646</v>
      </c>
      <c r="H107" t="s">
        <v>1647</v>
      </c>
      <c r="K107" t="s">
        <v>213</v>
      </c>
      <c r="M107" t="s">
        <v>370</v>
      </c>
      <c r="Q107" t="s">
        <v>562</v>
      </c>
      <c r="R107" t="s">
        <v>562</v>
      </c>
      <c r="S107" t="s">
        <v>562</v>
      </c>
      <c r="T107" t="s">
        <v>1646</v>
      </c>
      <c r="U107" t="s">
        <v>1647</v>
      </c>
    </row>
    <row r="108" spans="2:21" x14ac:dyDescent="0.2">
      <c r="B108" t="s">
        <v>215</v>
      </c>
      <c r="C108" t="s">
        <v>1437</v>
      </c>
      <c r="D108" t="s">
        <v>215</v>
      </c>
      <c r="E108" t="s">
        <v>215</v>
      </c>
      <c r="F108" t="s">
        <v>1903</v>
      </c>
      <c r="G108" t="s">
        <v>1708</v>
      </c>
      <c r="H108" t="s">
        <v>1647</v>
      </c>
      <c r="K108" t="s">
        <v>215</v>
      </c>
      <c r="M108" t="s">
        <v>9</v>
      </c>
      <c r="Q108" t="s">
        <v>370</v>
      </c>
      <c r="R108" t="s">
        <v>370</v>
      </c>
      <c r="S108" t="s">
        <v>370</v>
      </c>
      <c r="T108" t="s">
        <v>1646</v>
      </c>
      <c r="U108" t="s">
        <v>1647</v>
      </c>
    </row>
    <row r="109" spans="2:21" x14ac:dyDescent="0.2">
      <c r="B109" t="s">
        <v>217</v>
      </c>
      <c r="C109" t="s">
        <v>1438</v>
      </c>
      <c r="D109" t="s">
        <v>217</v>
      </c>
      <c r="E109" t="s">
        <v>217</v>
      </c>
      <c r="F109" t="s">
        <v>217</v>
      </c>
      <c r="G109" t="s">
        <v>1646</v>
      </c>
      <c r="H109" t="s">
        <v>1647</v>
      </c>
      <c r="K109" t="s">
        <v>217</v>
      </c>
      <c r="M109" t="s">
        <v>310</v>
      </c>
      <c r="Q109" t="s">
        <v>9</v>
      </c>
      <c r="R109" t="s">
        <v>9</v>
      </c>
      <c r="S109" t="s">
        <v>1775</v>
      </c>
      <c r="T109" t="s">
        <v>1776</v>
      </c>
      <c r="U109" t="s">
        <v>1647</v>
      </c>
    </row>
    <row r="110" spans="2:21" x14ac:dyDescent="0.2">
      <c r="B110" t="s">
        <v>219</v>
      </c>
      <c r="C110" t="s">
        <v>1439</v>
      </c>
      <c r="D110" t="s">
        <v>219</v>
      </c>
      <c r="E110" t="s">
        <v>219</v>
      </c>
      <c r="F110" t="s">
        <v>219</v>
      </c>
      <c r="G110" t="s">
        <v>1646</v>
      </c>
      <c r="H110" t="s">
        <v>1647</v>
      </c>
      <c r="K110" t="s">
        <v>219</v>
      </c>
      <c r="M110" t="s">
        <v>472</v>
      </c>
      <c r="Q110" t="s">
        <v>310</v>
      </c>
      <c r="R110" t="s">
        <v>310</v>
      </c>
      <c r="S110" t="s">
        <v>1777</v>
      </c>
      <c r="T110" t="s">
        <v>1778</v>
      </c>
      <c r="U110" t="s">
        <v>1647</v>
      </c>
    </row>
    <row r="111" spans="2:21" x14ac:dyDescent="0.2">
      <c r="B111" t="s">
        <v>221</v>
      </c>
      <c r="C111" t="s">
        <v>1440</v>
      </c>
      <c r="D111" t="s">
        <v>221</v>
      </c>
      <c r="E111" t="s">
        <v>221</v>
      </c>
      <c r="F111" t="s">
        <v>1723</v>
      </c>
      <c r="G111" t="s">
        <v>1724</v>
      </c>
      <c r="H111" t="s">
        <v>1647</v>
      </c>
      <c r="K111" t="s">
        <v>221</v>
      </c>
      <c r="M111" t="s">
        <v>43</v>
      </c>
      <c r="Q111" t="s">
        <v>472</v>
      </c>
      <c r="R111" t="s">
        <v>472</v>
      </c>
      <c r="S111" t="s">
        <v>1779</v>
      </c>
      <c r="T111" t="s">
        <v>1780</v>
      </c>
      <c r="U111" t="s">
        <v>1647</v>
      </c>
    </row>
    <row r="112" spans="2:21" x14ac:dyDescent="0.2">
      <c r="B112" t="s">
        <v>223</v>
      </c>
      <c r="C112" t="s">
        <v>1441</v>
      </c>
      <c r="D112" t="s">
        <v>223</v>
      </c>
      <c r="E112" t="s">
        <v>223</v>
      </c>
      <c r="F112" t="s">
        <v>1775</v>
      </c>
      <c r="G112" t="s">
        <v>1776</v>
      </c>
      <c r="H112" t="s">
        <v>1647</v>
      </c>
      <c r="K112" t="s">
        <v>223</v>
      </c>
      <c r="M112" t="s">
        <v>560</v>
      </c>
      <c r="Q112" t="s">
        <v>43</v>
      </c>
      <c r="R112" t="s">
        <v>43</v>
      </c>
      <c r="S112" t="s">
        <v>1781</v>
      </c>
      <c r="T112" t="s">
        <v>1782</v>
      </c>
      <c r="U112" t="s">
        <v>1647</v>
      </c>
    </row>
    <row r="113" spans="2:21" x14ac:dyDescent="0.2">
      <c r="B113" t="s">
        <v>225</v>
      </c>
      <c r="C113" t="s">
        <v>1442</v>
      </c>
      <c r="D113" t="s">
        <v>225</v>
      </c>
      <c r="E113" t="s">
        <v>225</v>
      </c>
      <c r="F113" t="s">
        <v>225</v>
      </c>
      <c r="G113" t="s">
        <v>1646</v>
      </c>
      <c r="H113" t="s">
        <v>1647</v>
      </c>
      <c r="K113" t="s">
        <v>225</v>
      </c>
      <c r="M113" t="s">
        <v>197</v>
      </c>
      <c r="Q113" t="s">
        <v>560</v>
      </c>
      <c r="R113" t="s">
        <v>560</v>
      </c>
      <c r="S113" t="s">
        <v>560</v>
      </c>
      <c r="T113" t="s">
        <v>1783</v>
      </c>
      <c r="U113" t="s">
        <v>1647</v>
      </c>
    </row>
    <row r="114" spans="2:21" x14ac:dyDescent="0.2">
      <c r="B114" t="s">
        <v>227</v>
      </c>
      <c r="C114" t="s">
        <v>1443</v>
      </c>
      <c r="D114" t="s">
        <v>227</v>
      </c>
      <c r="E114" t="s">
        <v>227</v>
      </c>
      <c r="F114" t="s">
        <v>1673</v>
      </c>
      <c r="G114" t="s">
        <v>1674</v>
      </c>
      <c r="H114" t="s">
        <v>1647</v>
      </c>
      <c r="K114" t="s">
        <v>227</v>
      </c>
      <c r="M114" t="s">
        <v>171</v>
      </c>
      <c r="Q114" t="s">
        <v>197</v>
      </c>
      <c r="R114" t="s">
        <v>197</v>
      </c>
      <c r="S114" t="s">
        <v>197</v>
      </c>
      <c r="T114" t="s">
        <v>1646</v>
      </c>
      <c r="U114" t="s">
        <v>1647</v>
      </c>
    </row>
    <row r="115" spans="2:21" x14ac:dyDescent="0.2">
      <c r="B115" t="s">
        <v>229</v>
      </c>
      <c r="C115" t="s">
        <v>1444</v>
      </c>
      <c r="D115" t="s">
        <v>229</v>
      </c>
      <c r="E115" t="s">
        <v>229</v>
      </c>
      <c r="F115" t="s">
        <v>1725</v>
      </c>
      <c r="G115" t="s">
        <v>1726</v>
      </c>
      <c r="H115" t="s">
        <v>1647</v>
      </c>
      <c r="K115" t="s">
        <v>229</v>
      </c>
      <c r="M115" t="s">
        <v>149</v>
      </c>
      <c r="Q115" t="s">
        <v>171</v>
      </c>
      <c r="R115" t="s">
        <v>171</v>
      </c>
      <c r="S115" t="s">
        <v>1784</v>
      </c>
      <c r="T115" t="s">
        <v>1785</v>
      </c>
      <c r="U115" t="s">
        <v>1647</v>
      </c>
    </row>
    <row r="116" spans="2:21" x14ac:dyDescent="0.2">
      <c r="B116" t="s">
        <v>231</v>
      </c>
      <c r="C116" t="s">
        <v>1445</v>
      </c>
      <c r="D116" t="s">
        <v>231</v>
      </c>
      <c r="E116" t="s">
        <v>231</v>
      </c>
      <c r="F116" t="s">
        <v>231</v>
      </c>
      <c r="G116" t="s">
        <v>1646</v>
      </c>
      <c r="H116" t="s">
        <v>1647</v>
      </c>
      <c r="K116" t="s">
        <v>231</v>
      </c>
      <c r="M116" t="s">
        <v>283</v>
      </c>
      <c r="Q116" t="s">
        <v>149</v>
      </c>
      <c r="R116" t="s">
        <v>149</v>
      </c>
      <c r="S116" t="s">
        <v>1786</v>
      </c>
      <c r="T116" t="s">
        <v>1646</v>
      </c>
      <c r="U116" t="s">
        <v>1647</v>
      </c>
    </row>
    <row r="117" spans="2:21" x14ac:dyDescent="0.2">
      <c r="B117" t="s">
        <v>233</v>
      </c>
      <c r="C117" t="s">
        <v>1446</v>
      </c>
      <c r="D117" t="s">
        <v>233</v>
      </c>
      <c r="E117" t="s">
        <v>233</v>
      </c>
      <c r="F117" t="s">
        <v>1906</v>
      </c>
      <c r="G117" t="s">
        <v>1907</v>
      </c>
      <c r="H117" t="s">
        <v>1647</v>
      </c>
      <c r="K117" t="s">
        <v>233</v>
      </c>
      <c r="M117" t="s">
        <v>39</v>
      </c>
      <c r="Q117" t="s">
        <v>283</v>
      </c>
      <c r="R117" t="s">
        <v>283</v>
      </c>
      <c r="S117" t="s">
        <v>1787</v>
      </c>
      <c r="T117" t="s">
        <v>1788</v>
      </c>
      <c r="U117" t="s">
        <v>1647</v>
      </c>
    </row>
    <row r="118" spans="2:21" x14ac:dyDescent="0.2">
      <c r="B118" t="s">
        <v>235</v>
      </c>
      <c r="C118" t="s">
        <v>1447</v>
      </c>
      <c r="D118" t="s">
        <v>235</v>
      </c>
      <c r="E118" t="s">
        <v>235</v>
      </c>
      <c r="F118" t="s">
        <v>1727</v>
      </c>
      <c r="G118" t="s">
        <v>1728</v>
      </c>
      <c r="H118" t="s">
        <v>1647</v>
      </c>
      <c r="K118" t="s">
        <v>235</v>
      </c>
      <c r="M118" t="s">
        <v>364</v>
      </c>
      <c r="Q118" t="s">
        <v>39</v>
      </c>
      <c r="R118" t="s">
        <v>39</v>
      </c>
      <c r="S118" t="s">
        <v>1648</v>
      </c>
      <c r="T118" t="s">
        <v>1649</v>
      </c>
      <c r="U118" t="s">
        <v>1647</v>
      </c>
    </row>
    <row r="119" spans="2:21" x14ac:dyDescent="0.2">
      <c r="B119" t="s">
        <v>237</v>
      </c>
      <c r="C119" t="s">
        <v>1448</v>
      </c>
      <c r="D119" t="s">
        <v>237</v>
      </c>
      <c r="E119" t="s">
        <v>237</v>
      </c>
      <c r="F119" t="s">
        <v>1729</v>
      </c>
      <c r="G119" t="s">
        <v>1730</v>
      </c>
      <c r="H119" t="s">
        <v>1647</v>
      </c>
      <c r="K119" t="s">
        <v>237</v>
      </c>
      <c r="M119" t="s">
        <v>440</v>
      </c>
      <c r="Q119" t="s">
        <v>364</v>
      </c>
      <c r="R119" t="s">
        <v>364</v>
      </c>
      <c r="S119" t="s">
        <v>364</v>
      </c>
      <c r="T119" t="s">
        <v>1646</v>
      </c>
      <c r="U119" t="s">
        <v>1647</v>
      </c>
    </row>
    <row r="120" spans="2:21" x14ac:dyDescent="0.2">
      <c r="B120" t="s">
        <v>239</v>
      </c>
      <c r="C120" t="s">
        <v>1449</v>
      </c>
      <c r="D120" t="s">
        <v>239</v>
      </c>
      <c r="E120" t="s">
        <v>239</v>
      </c>
      <c r="F120" t="s">
        <v>1837</v>
      </c>
      <c r="G120" t="s">
        <v>1838</v>
      </c>
      <c r="H120" t="s">
        <v>1647</v>
      </c>
      <c r="K120" t="s">
        <v>239</v>
      </c>
      <c r="M120" t="s">
        <v>505</v>
      </c>
      <c r="Q120" t="s">
        <v>440</v>
      </c>
      <c r="R120" t="s">
        <v>440</v>
      </c>
      <c r="S120" t="s">
        <v>440</v>
      </c>
      <c r="T120" t="s">
        <v>1646</v>
      </c>
      <c r="U120" t="s">
        <v>1647</v>
      </c>
    </row>
    <row r="121" spans="2:21" x14ac:dyDescent="0.2">
      <c r="B121" t="s">
        <v>241</v>
      </c>
      <c r="C121" t="s">
        <v>1450</v>
      </c>
      <c r="D121" t="s">
        <v>241</v>
      </c>
      <c r="E121" t="s">
        <v>241</v>
      </c>
      <c r="F121" t="s">
        <v>241</v>
      </c>
      <c r="G121" t="s">
        <v>1646</v>
      </c>
      <c r="H121" t="s">
        <v>1647</v>
      </c>
      <c r="K121" t="s">
        <v>241</v>
      </c>
      <c r="M121" t="s">
        <v>517</v>
      </c>
      <c r="Q121" t="s">
        <v>505</v>
      </c>
      <c r="R121" t="s">
        <v>505</v>
      </c>
      <c r="S121" t="s">
        <v>505</v>
      </c>
      <c r="T121" t="s">
        <v>1789</v>
      </c>
      <c r="U121" t="s">
        <v>1647</v>
      </c>
    </row>
    <row r="122" spans="2:21" x14ac:dyDescent="0.2">
      <c r="B122" t="s">
        <v>243</v>
      </c>
      <c r="C122" t="s">
        <v>1451</v>
      </c>
      <c r="D122" t="s">
        <v>243</v>
      </c>
      <c r="E122" t="s">
        <v>243</v>
      </c>
      <c r="F122" t="s">
        <v>243</v>
      </c>
      <c r="G122" t="s">
        <v>1731</v>
      </c>
      <c r="H122" t="s">
        <v>1647</v>
      </c>
      <c r="K122" t="s">
        <v>243</v>
      </c>
      <c r="M122" t="s">
        <v>273</v>
      </c>
      <c r="Q122" t="s">
        <v>517</v>
      </c>
      <c r="R122" t="s">
        <v>517</v>
      </c>
      <c r="S122" t="s">
        <v>1790</v>
      </c>
      <c r="T122" t="s">
        <v>1780</v>
      </c>
      <c r="U122" t="s">
        <v>1647</v>
      </c>
    </row>
    <row r="123" spans="2:21" x14ac:dyDescent="0.2">
      <c r="B123" t="s">
        <v>245</v>
      </c>
      <c r="C123" t="s">
        <v>1452</v>
      </c>
      <c r="D123" t="s">
        <v>245</v>
      </c>
      <c r="E123" t="s">
        <v>245</v>
      </c>
      <c r="F123" t="s">
        <v>1732</v>
      </c>
      <c r="G123" t="s">
        <v>1733</v>
      </c>
      <c r="H123" t="s">
        <v>1647</v>
      </c>
      <c r="K123" t="s">
        <v>245</v>
      </c>
      <c r="M123" t="s">
        <v>334</v>
      </c>
      <c r="Q123" t="s">
        <v>273</v>
      </c>
      <c r="R123" t="s">
        <v>273</v>
      </c>
      <c r="S123" t="s">
        <v>1791</v>
      </c>
      <c r="T123" t="s">
        <v>1792</v>
      </c>
      <c r="U123" t="s">
        <v>1647</v>
      </c>
    </row>
    <row r="124" spans="2:21" x14ac:dyDescent="0.2">
      <c r="B124" t="s">
        <v>247</v>
      </c>
      <c r="C124" t="s">
        <v>1453</v>
      </c>
      <c r="D124" t="s">
        <v>247</v>
      </c>
      <c r="E124" t="s">
        <v>247</v>
      </c>
      <c r="F124" t="s">
        <v>1734</v>
      </c>
      <c r="G124" t="s">
        <v>1735</v>
      </c>
      <c r="H124" t="s">
        <v>1647</v>
      </c>
      <c r="K124" t="s">
        <v>247</v>
      </c>
      <c r="M124" t="s">
        <v>464</v>
      </c>
      <c r="Q124" t="s">
        <v>334</v>
      </c>
      <c r="R124" t="s">
        <v>334</v>
      </c>
      <c r="S124" t="s">
        <v>334</v>
      </c>
      <c r="T124" t="s">
        <v>1793</v>
      </c>
      <c r="U124" t="s">
        <v>1647</v>
      </c>
    </row>
    <row r="125" spans="2:21" x14ac:dyDescent="0.2">
      <c r="B125" t="s">
        <v>249</v>
      </c>
      <c r="C125" t="s">
        <v>1454</v>
      </c>
      <c r="D125" t="s">
        <v>249</v>
      </c>
      <c r="E125" t="s">
        <v>249</v>
      </c>
      <c r="F125" t="s">
        <v>249</v>
      </c>
      <c r="G125" t="s">
        <v>1646</v>
      </c>
      <c r="H125" t="s">
        <v>1647</v>
      </c>
      <c r="K125" t="s">
        <v>249</v>
      </c>
      <c r="M125" t="s">
        <v>320</v>
      </c>
      <c r="Q125" t="s">
        <v>464</v>
      </c>
      <c r="R125" t="s">
        <v>464</v>
      </c>
      <c r="S125" t="s">
        <v>1794</v>
      </c>
      <c r="T125" t="s">
        <v>1795</v>
      </c>
      <c r="U125" t="s">
        <v>1647</v>
      </c>
    </row>
    <row r="126" spans="2:21" x14ac:dyDescent="0.2">
      <c r="B126" t="s">
        <v>251</v>
      </c>
      <c r="C126" t="s">
        <v>1455</v>
      </c>
      <c r="D126" t="s">
        <v>251</v>
      </c>
      <c r="E126" t="s">
        <v>251</v>
      </c>
      <c r="F126" t="s">
        <v>251</v>
      </c>
      <c r="G126" t="s">
        <v>1646</v>
      </c>
      <c r="H126" t="s">
        <v>1647</v>
      </c>
      <c r="K126" t="s">
        <v>251</v>
      </c>
      <c r="M126" t="s">
        <v>462</v>
      </c>
      <c r="Q126" t="s">
        <v>320</v>
      </c>
      <c r="R126" t="s">
        <v>320</v>
      </c>
      <c r="S126" t="s">
        <v>320</v>
      </c>
      <c r="T126" t="s">
        <v>1796</v>
      </c>
      <c r="U126" t="s">
        <v>1647</v>
      </c>
    </row>
    <row r="127" spans="2:21" x14ac:dyDescent="0.2">
      <c r="B127" t="s">
        <v>253</v>
      </c>
      <c r="C127" t="s">
        <v>1456</v>
      </c>
      <c r="D127" t="s">
        <v>253</v>
      </c>
      <c r="E127" t="s">
        <v>253</v>
      </c>
      <c r="F127" t="s">
        <v>1808</v>
      </c>
      <c r="G127" t="s">
        <v>1796</v>
      </c>
      <c r="H127" t="s">
        <v>1647</v>
      </c>
      <c r="K127" t="s">
        <v>253</v>
      </c>
      <c r="M127" t="s">
        <v>356</v>
      </c>
      <c r="Q127" t="s">
        <v>462</v>
      </c>
      <c r="R127" t="s">
        <v>462</v>
      </c>
      <c r="S127" t="s">
        <v>462</v>
      </c>
      <c r="T127" t="s">
        <v>1797</v>
      </c>
      <c r="U127" t="s">
        <v>1647</v>
      </c>
    </row>
    <row r="128" spans="2:21" x14ac:dyDescent="0.2">
      <c r="B128" t="s">
        <v>255</v>
      </c>
      <c r="C128" t="s">
        <v>1457</v>
      </c>
      <c r="D128" t="s">
        <v>255</v>
      </c>
      <c r="E128" t="s">
        <v>255</v>
      </c>
      <c r="F128" t="s">
        <v>1801</v>
      </c>
      <c r="G128" t="s">
        <v>1802</v>
      </c>
      <c r="H128" t="s">
        <v>1647</v>
      </c>
      <c r="K128" t="s">
        <v>255</v>
      </c>
      <c r="M128" t="s">
        <v>241</v>
      </c>
      <c r="Q128" t="s">
        <v>356</v>
      </c>
      <c r="R128" t="s">
        <v>356</v>
      </c>
      <c r="S128" t="s">
        <v>356</v>
      </c>
      <c r="T128" t="s">
        <v>1646</v>
      </c>
      <c r="U128" t="s">
        <v>1647</v>
      </c>
    </row>
    <row r="129" spans="2:21" x14ac:dyDescent="0.2">
      <c r="B129" t="s">
        <v>257</v>
      </c>
      <c r="C129" t="s">
        <v>1458</v>
      </c>
      <c r="D129" t="s">
        <v>257</v>
      </c>
      <c r="E129" t="s">
        <v>257</v>
      </c>
      <c r="F129" t="s">
        <v>257</v>
      </c>
      <c r="G129" t="s">
        <v>1646</v>
      </c>
      <c r="H129" t="s">
        <v>1647</v>
      </c>
      <c r="K129" t="s">
        <v>257</v>
      </c>
      <c r="M129" t="s">
        <v>219</v>
      </c>
      <c r="Q129" t="s">
        <v>241</v>
      </c>
      <c r="R129" t="s">
        <v>241</v>
      </c>
      <c r="S129" t="s">
        <v>241</v>
      </c>
      <c r="T129" t="s">
        <v>1646</v>
      </c>
      <c r="U129" t="s">
        <v>1647</v>
      </c>
    </row>
    <row r="130" spans="2:21" x14ac:dyDescent="0.2">
      <c r="B130" t="s">
        <v>259</v>
      </c>
      <c r="C130" t="s">
        <v>1459</v>
      </c>
      <c r="D130" t="s">
        <v>259</v>
      </c>
      <c r="E130" t="s">
        <v>259</v>
      </c>
      <c r="F130" t="s">
        <v>259</v>
      </c>
      <c r="G130" t="s">
        <v>1646</v>
      </c>
      <c r="H130" t="s">
        <v>1647</v>
      </c>
      <c r="K130" t="s">
        <v>259</v>
      </c>
      <c r="M130" t="s">
        <v>543</v>
      </c>
      <c r="Q130" t="s">
        <v>219</v>
      </c>
      <c r="R130" t="s">
        <v>219</v>
      </c>
      <c r="S130" t="s">
        <v>219</v>
      </c>
      <c r="T130" t="s">
        <v>1646</v>
      </c>
      <c r="U130" t="s">
        <v>1647</v>
      </c>
    </row>
    <row r="131" spans="2:21" x14ac:dyDescent="0.2">
      <c r="B131" t="s">
        <v>261</v>
      </c>
      <c r="C131" t="s">
        <v>1460</v>
      </c>
      <c r="D131" t="s">
        <v>261</v>
      </c>
      <c r="E131" t="s">
        <v>261</v>
      </c>
      <c r="F131" t="s">
        <v>261</v>
      </c>
      <c r="G131" t="s">
        <v>1646</v>
      </c>
      <c r="H131" t="s">
        <v>1647</v>
      </c>
      <c r="K131" t="s">
        <v>261</v>
      </c>
      <c r="M131" t="s">
        <v>165</v>
      </c>
      <c r="Q131" t="s">
        <v>543</v>
      </c>
      <c r="R131" t="s">
        <v>543</v>
      </c>
      <c r="S131" t="s">
        <v>543</v>
      </c>
      <c r="T131" t="s">
        <v>1646</v>
      </c>
      <c r="U131" t="s">
        <v>1647</v>
      </c>
    </row>
    <row r="132" spans="2:21" x14ac:dyDescent="0.2">
      <c r="B132" t="s">
        <v>548</v>
      </c>
      <c r="C132" t="s">
        <v>1461</v>
      </c>
      <c r="D132" t="s">
        <v>548</v>
      </c>
      <c r="E132" t="s">
        <v>548</v>
      </c>
      <c r="F132" t="s">
        <v>548</v>
      </c>
      <c r="G132" t="s">
        <v>1646</v>
      </c>
      <c r="H132" t="s">
        <v>1647</v>
      </c>
      <c r="K132" t="s">
        <v>548</v>
      </c>
      <c r="M132" t="s">
        <v>301</v>
      </c>
      <c r="Q132" t="s">
        <v>165</v>
      </c>
      <c r="R132" t="s">
        <v>165</v>
      </c>
      <c r="S132" t="s">
        <v>1709</v>
      </c>
      <c r="T132" t="s">
        <v>1710</v>
      </c>
      <c r="U132" t="s">
        <v>1647</v>
      </c>
    </row>
    <row r="133" spans="2:21" x14ac:dyDescent="0.2">
      <c r="B133" t="s">
        <v>271</v>
      </c>
      <c r="C133" t="s">
        <v>1462</v>
      </c>
      <c r="D133" t="s">
        <v>271</v>
      </c>
      <c r="E133" t="s">
        <v>271</v>
      </c>
      <c r="F133" t="s">
        <v>271</v>
      </c>
      <c r="G133" t="s">
        <v>1646</v>
      </c>
      <c r="H133" t="s">
        <v>1647</v>
      </c>
      <c r="K133" t="s">
        <v>271</v>
      </c>
      <c r="M133" t="s">
        <v>223</v>
      </c>
      <c r="Q133" t="s">
        <v>301</v>
      </c>
      <c r="R133" t="s">
        <v>301</v>
      </c>
      <c r="S133" t="s">
        <v>301</v>
      </c>
      <c r="T133" t="s">
        <v>1798</v>
      </c>
      <c r="U133" t="s">
        <v>1647</v>
      </c>
    </row>
    <row r="134" spans="2:21" x14ac:dyDescent="0.2">
      <c r="B134" t="s">
        <v>550</v>
      </c>
      <c r="C134" t="s">
        <v>1463</v>
      </c>
      <c r="D134" t="s">
        <v>550</v>
      </c>
      <c r="E134" t="s">
        <v>550</v>
      </c>
      <c r="F134" t="s">
        <v>550</v>
      </c>
      <c r="G134" t="s">
        <v>1646</v>
      </c>
      <c r="H134" t="s">
        <v>1647</v>
      </c>
      <c r="K134" t="s">
        <v>550</v>
      </c>
      <c r="M134" t="s">
        <v>402</v>
      </c>
      <c r="Q134" t="s">
        <v>223</v>
      </c>
      <c r="R134" t="s">
        <v>223</v>
      </c>
      <c r="S134" t="s">
        <v>1775</v>
      </c>
      <c r="T134" t="s">
        <v>1776</v>
      </c>
      <c r="U134" t="s">
        <v>1647</v>
      </c>
    </row>
    <row r="135" spans="2:21" x14ac:dyDescent="0.2">
      <c r="B135" t="s">
        <v>273</v>
      </c>
      <c r="C135" t="s">
        <v>1464</v>
      </c>
      <c r="D135" t="s">
        <v>273</v>
      </c>
      <c r="E135" t="s">
        <v>273</v>
      </c>
      <c r="F135" t="s">
        <v>1791</v>
      </c>
      <c r="G135" t="s">
        <v>1792</v>
      </c>
      <c r="H135" t="s">
        <v>1647</v>
      </c>
      <c r="K135" t="s">
        <v>273</v>
      </c>
      <c r="M135" t="s">
        <v>85</v>
      </c>
      <c r="Q135" t="s">
        <v>402</v>
      </c>
      <c r="R135" t="s">
        <v>402</v>
      </c>
      <c r="S135" t="s">
        <v>402</v>
      </c>
      <c r="T135" t="s">
        <v>1646</v>
      </c>
      <c r="U135" t="s">
        <v>1647</v>
      </c>
    </row>
    <row r="136" spans="2:21" x14ac:dyDescent="0.2">
      <c r="B136" t="s">
        <v>552</v>
      </c>
      <c r="C136" t="s">
        <v>1465</v>
      </c>
      <c r="D136" t="s">
        <v>552</v>
      </c>
      <c r="E136" t="s">
        <v>552</v>
      </c>
      <c r="F136" t="s">
        <v>1915</v>
      </c>
      <c r="G136" t="s">
        <v>1916</v>
      </c>
      <c r="H136" t="s">
        <v>1647</v>
      </c>
      <c r="K136" s="3" t="s">
        <v>7</v>
      </c>
      <c r="M136" t="s">
        <v>509</v>
      </c>
      <c r="Q136" t="s">
        <v>85</v>
      </c>
      <c r="R136" t="s">
        <v>85</v>
      </c>
      <c r="S136" t="s">
        <v>1799</v>
      </c>
      <c r="T136" t="s">
        <v>1800</v>
      </c>
      <c r="U136" t="s">
        <v>1647</v>
      </c>
    </row>
    <row r="137" spans="2:21" x14ac:dyDescent="0.2">
      <c r="B137" t="s">
        <v>283</v>
      </c>
      <c r="C137" t="s">
        <v>1466</v>
      </c>
      <c r="D137" t="s">
        <v>283</v>
      </c>
      <c r="E137" t="s">
        <v>283</v>
      </c>
      <c r="F137" t="s">
        <v>1787</v>
      </c>
      <c r="G137" t="s">
        <v>1788</v>
      </c>
      <c r="H137" t="s">
        <v>1647</v>
      </c>
      <c r="K137" t="s">
        <v>552</v>
      </c>
      <c r="M137" t="s">
        <v>255</v>
      </c>
      <c r="Q137" t="s">
        <v>509</v>
      </c>
      <c r="R137" t="s">
        <v>509</v>
      </c>
      <c r="S137" t="s">
        <v>509</v>
      </c>
      <c r="T137" t="s">
        <v>1646</v>
      </c>
      <c r="U137" t="s">
        <v>1647</v>
      </c>
    </row>
    <row r="138" spans="2:21" x14ac:dyDescent="0.2">
      <c r="B138" t="s">
        <v>285</v>
      </c>
      <c r="C138" t="s">
        <v>1467</v>
      </c>
      <c r="D138" t="s">
        <v>285</v>
      </c>
      <c r="E138" t="s">
        <v>285</v>
      </c>
      <c r="F138" t="s">
        <v>285</v>
      </c>
      <c r="G138" t="s">
        <v>1646</v>
      </c>
      <c r="H138" t="s">
        <v>1647</v>
      </c>
      <c r="K138" t="s">
        <v>11</v>
      </c>
      <c r="M138" t="s">
        <v>91</v>
      </c>
      <c r="Q138" t="s">
        <v>255</v>
      </c>
      <c r="R138" t="s">
        <v>255</v>
      </c>
      <c r="S138" t="s">
        <v>1801</v>
      </c>
      <c r="T138" t="s">
        <v>1802</v>
      </c>
      <c r="U138" t="s">
        <v>1647</v>
      </c>
    </row>
    <row r="139" spans="2:21" x14ac:dyDescent="0.2">
      <c r="B139" t="s">
        <v>289</v>
      </c>
      <c r="C139" t="s">
        <v>1468</v>
      </c>
      <c r="D139" t="s">
        <v>289</v>
      </c>
      <c r="E139" t="s">
        <v>289</v>
      </c>
      <c r="F139" t="s">
        <v>289</v>
      </c>
      <c r="G139" t="s">
        <v>1646</v>
      </c>
      <c r="H139" t="s">
        <v>1647</v>
      </c>
      <c r="K139" t="s">
        <v>13</v>
      </c>
      <c r="M139" t="s">
        <v>348</v>
      </c>
      <c r="Q139" t="s">
        <v>91</v>
      </c>
      <c r="R139" t="s">
        <v>91</v>
      </c>
      <c r="S139" t="s">
        <v>1803</v>
      </c>
      <c r="T139" t="s">
        <v>1804</v>
      </c>
      <c r="U139" t="s">
        <v>1647</v>
      </c>
    </row>
    <row r="140" spans="2:21" x14ac:dyDescent="0.2">
      <c r="B140" t="s">
        <v>293</v>
      </c>
      <c r="C140" t="s">
        <v>1469</v>
      </c>
      <c r="D140" t="s">
        <v>293</v>
      </c>
      <c r="E140" t="s">
        <v>293</v>
      </c>
      <c r="F140" t="s">
        <v>1738</v>
      </c>
      <c r="G140" t="s">
        <v>1739</v>
      </c>
      <c r="H140" t="s">
        <v>1647</v>
      </c>
      <c r="K140" t="s">
        <v>15</v>
      </c>
      <c r="M140" t="s">
        <v>4</v>
      </c>
      <c r="Q140" t="s">
        <v>348</v>
      </c>
      <c r="R140" t="s">
        <v>348</v>
      </c>
      <c r="S140" t="s">
        <v>348</v>
      </c>
      <c r="T140" t="s">
        <v>1646</v>
      </c>
      <c r="U140" t="s">
        <v>1647</v>
      </c>
    </row>
    <row r="141" spans="2:21" x14ac:dyDescent="0.2">
      <c r="B141" t="s">
        <v>295</v>
      </c>
      <c r="C141" t="s">
        <v>1470</v>
      </c>
      <c r="D141" t="s">
        <v>295</v>
      </c>
      <c r="E141" t="s">
        <v>295</v>
      </c>
      <c r="F141" t="s">
        <v>1814</v>
      </c>
      <c r="G141" t="s">
        <v>1815</v>
      </c>
      <c r="H141" t="s">
        <v>1647</v>
      </c>
      <c r="K141" t="s">
        <v>283</v>
      </c>
      <c r="M141" t="s">
        <v>478</v>
      </c>
      <c r="Q141" t="s">
        <v>4</v>
      </c>
      <c r="R141" t="s">
        <v>4</v>
      </c>
      <c r="S141" t="s">
        <v>1805</v>
      </c>
      <c r="T141" t="s">
        <v>1646</v>
      </c>
      <c r="U141" t="s">
        <v>1647</v>
      </c>
    </row>
    <row r="142" spans="2:21" x14ac:dyDescent="0.2">
      <c r="B142" t="s">
        <v>554</v>
      </c>
      <c r="C142" t="s">
        <v>1471</v>
      </c>
      <c r="D142" t="s">
        <v>554</v>
      </c>
      <c r="E142" t="s">
        <v>554</v>
      </c>
      <c r="F142" t="s">
        <v>1923</v>
      </c>
      <c r="G142" t="s">
        <v>1924</v>
      </c>
      <c r="H142" t="s">
        <v>1647</v>
      </c>
      <c r="K142" t="s">
        <v>285</v>
      </c>
      <c r="M142" t="s">
        <v>89</v>
      </c>
      <c r="Q142" t="s">
        <v>478</v>
      </c>
      <c r="R142" t="s">
        <v>478</v>
      </c>
      <c r="S142" t="s">
        <v>478</v>
      </c>
      <c r="T142" t="s">
        <v>1789</v>
      </c>
      <c r="U142" t="s">
        <v>1647</v>
      </c>
    </row>
    <row r="143" spans="2:21" x14ac:dyDescent="0.2">
      <c r="B143" t="s">
        <v>301</v>
      </c>
      <c r="C143" t="s">
        <v>1472</v>
      </c>
      <c r="D143" t="s">
        <v>301</v>
      </c>
      <c r="E143" t="s">
        <v>301</v>
      </c>
      <c r="F143" t="s">
        <v>301</v>
      </c>
      <c r="G143" t="s">
        <v>1798</v>
      </c>
      <c r="H143" t="s">
        <v>1647</v>
      </c>
      <c r="K143" t="s">
        <v>19</v>
      </c>
      <c r="M143" t="s">
        <v>87</v>
      </c>
      <c r="Q143" t="s">
        <v>89</v>
      </c>
      <c r="R143" t="s">
        <v>89</v>
      </c>
      <c r="S143" t="s">
        <v>1806</v>
      </c>
      <c r="T143" t="s">
        <v>1807</v>
      </c>
      <c r="U143" t="s">
        <v>1647</v>
      </c>
    </row>
    <row r="144" spans="2:21" x14ac:dyDescent="0.2">
      <c r="B144" t="s">
        <v>303</v>
      </c>
      <c r="C144" t="s">
        <v>1473</v>
      </c>
      <c r="D144" t="s">
        <v>303</v>
      </c>
      <c r="E144" t="s">
        <v>303</v>
      </c>
      <c r="F144" t="s">
        <v>303</v>
      </c>
      <c r="G144" t="s">
        <v>1646</v>
      </c>
      <c r="H144" t="s">
        <v>1647</v>
      </c>
      <c r="K144" t="s">
        <v>21</v>
      </c>
      <c r="M144" t="s">
        <v>558</v>
      </c>
      <c r="Q144" t="s">
        <v>87</v>
      </c>
      <c r="R144" t="s">
        <v>87</v>
      </c>
      <c r="S144" t="s">
        <v>1675</v>
      </c>
      <c r="T144" t="s">
        <v>1676</v>
      </c>
      <c r="U144" t="s">
        <v>1647</v>
      </c>
    </row>
    <row r="145" spans="2:21" x14ac:dyDescent="0.2">
      <c r="B145" t="s">
        <v>310</v>
      </c>
      <c r="C145" t="s">
        <v>1474</v>
      </c>
      <c r="D145" t="s">
        <v>310</v>
      </c>
      <c r="E145" t="s">
        <v>310</v>
      </c>
      <c r="F145" t="s">
        <v>1777</v>
      </c>
      <c r="G145" t="s">
        <v>1778</v>
      </c>
      <c r="H145" t="s">
        <v>1647</v>
      </c>
      <c r="K145" t="s">
        <v>23</v>
      </c>
      <c r="M145" t="s">
        <v>267</v>
      </c>
      <c r="Q145" t="s">
        <v>558</v>
      </c>
      <c r="R145" t="s">
        <v>558</v>
      </c>
      <c r="S145" t="s">
        <v>1808</v>
      </c>
      <c r="T145" t="s">
        <v>1796</v>
      </c>
      <c r="U145" t="s">
        <v>1647</v>
      </c>
    </row>
    <row r="146" spans="2:21" x14ac:dyDescent="0.2">
      <c r="B146" t="s">
        <v>312</v>
      </c>
      <c r="C146" t="s">
        <v>1475</v>
      </c>
      <c r="D146" t="s">
        <v>312</v>
      </c>
      <c r="E146" t="s">
        <v>312</v>
      </c>
      <c r="F146" t="s">
        <v>1818</v>
      </c>
      <c r="G146" t="s">
        <v>1819</v>
      </c>
      <c r="H146" t="s">
        <v>1647</v>
      </c>
      <c r="K146" t="s">
        <v>25</v>
      </c>
      <c r="M146" t="s">
        <v>271</v>
      </c>
      <c r="Q146" t="s">
        <v>267</v>
      </c>
      <c r="R146" t="s">
        <v>267</v>
      </c>
      <c r="S146" t="s">
        <v>267</v>
      </c>
      <c r="T146" t="s">
        <v>1646</v>
      </c>
      <c r="U146" t="s">
        <v>1647</v>
      </c>
    </row>
    <row r="147" spans="2:21" x14ac:dyDescent="0.2">
      <c r="B147" t="s">
        <v>556</v>
      </c>
      <c r="C147" t="s">
        <v>1476</v>
      </c>
      <c r="D147" t="s">
        <v>556</v>
      </c>
      <c r="E147" t="s">
        <v>556</v>
      </c>
      <c r="F147" t="s">
        <v>1933</v>
      </c>
      <c r="G147" t="s">
        <v>1934</v>
      </c>
      <c r="H147" t="s">
        <v>1647</v>
      </c>
      <c r="K147" t="s">
        <v>289</v>
      </c>
      <c r="M147" t="s">
        <v>275</v>
      </c>
      <c r="Q147" t="s">
        <v>271</v>
      </c>
      <c r="R147" t="s">
        <v>271</v>
      </c>
      <c r="S147" t="s">
        <v>271</v>
      </c>
      <c r="T147" t="s">
        <v>1646</v>
      </c>
      <c r="U147" t="s">
        <v>1647</v>
      </c>
    </row>
    <row r="148" spans="2:21" x14ac:dyDescent="0.2">
      <c r="B148" t="s">
        <v>558</v>
      </c>
      <c r="C148" t="s">
        <v>1477</v>
      </c>
      <c r="D148" t="s">
        <v>558</v>
      </c>
      <c r="E148" t="s">
        <v>558</v>
      </c>
      <c r="F148" t="s">
        <v>1808</v>
      </c>
      <c r="G148" t="s">
        <v>1796</v>
      </c>
      <c r="H148" t="s">
        <v>1647</v>
      </c>
      <c r="K148" t="s">
        <v>27</v>
      </c>
      <c r="M148" t="s">
        <v>281</v>
      </c>
      <c r="Q148" t="s">
        <v>275</v>
      </c>
      <c r="R148" t="s">
        <v>275</v>
      </c>
      <c r="S148" t="s">
        <v>275</v>
      </c>
      <c r="T148" t="s">
        <v>1809</v>
      </c>
      <c r="U148" t="s">
        <v>1647</v>
      </c>
    </row>
    <row r="149" spans="2:21" x14ac:dyDescent="0.2">
      <c r="B149" t="s">
        <v>320</v>
      </c>
      <c r="C149" t="s">
        <v>1478</v>
      </c>
      <c r="D149" t="s">
        <v>320</v>
      </c>
      <c r="E149" t="s">
        <v>320</v>
      </c>
      <c r="F149" t="s">
        <v>320</v>
      </c>
      <c r="G149" t="s">
        <v>1796</v>
      </c>
      <c r="H149" t="s">
        <v>1647</v>
      </c>
      <c r="K149" t="s">
        <v>293</v>
      </c>
      <c r="M149" t="s">
        <v>287</v>
      </c>
      <c r="Q149" t="s">
        <v>281</v>
      </c>
      <c r="R149" t="s">
        <v>281</v>
      </c>
      <c r="S149" t="s">
        <v>1810</v>
      </c>
      <c r="T149" t="s">
        <v>1811</v>
      </c>
      <c r="U149" t="s">
        <v>1647</v>
      </c>
    </row>
    <row r="150" spans="2:21" x14ac:dyDescent="0.2">
      <c r="B150" t="s">
        <v>322</v>
      </c>
      <c r="C150" t="s">
        <v>1479</v>
      </c>
      <c r="D150" t="s">
        <v>322</v>
      </c>
      <c r="E150" t="s">
        <v>322</v>
      </c>
      <c r="F150" t="s">
        <v>1773</v>
      </c>
      <c r="G150" t="s">
        <v>1774</v>
      </c>
      <c r="H150" t="s">
        <v>1647</v>
      </c>
      <c r="K150" t="s">
        <v>295</v>
      </c>
      <c r="M150" t="s">
        <v>295</v>
      </c>
      <c r="Q150" t="s">
        <v>287</v>
      </c>
      <c r="R150" t="s">
        <v>287</v>
      </c>
      <c r="S150" t="s">
        <v>1812</v>
      </c>
      <c r="T150" t="s">
        <v>1813</v>
      </c>
      <c r="U150" t="s">
        <v>1647</v>
      </c>
    </row>
    <row r="151" spans="2:21" x14ac:dyDescent="0.2">
      <c r="B151" t="s">
        <v>324</v>
      </c>
      <c r="C151" t="s">
        <v>1480</v>
      </c>
      <c r="D151" t="s">
        <v>324</v>
      </c>
      <c r="E151" t="s">
        <v>324</v>
      </c>
      <c r="F151" t="s">
        <v>324</v>
      </c>
      <c r="G151" t="s">
        <v>1646</v>
      </c>
      <c r="H151" t="s">
        <v>1647</v>
      </c>
      <c r="K151" t="s">
        <v>31</v>
      </c>
      <c r="M151" t="s">
        <v>297</v>
      </c>
      <c r="Q151" t="s">
        <v>295</v>
      </c>
      <c r="R151" t="s">
        <v>295</v>
      </c>
      <c r="S151" t="s">
        <v>1814</v>
      </c>
      <c r="T151" t="s">
        <v>1815</v>
      </c>
      <c r="U151" t="s">
        <v>1647</v>
      </c>
    </row>
    <row r="152" spans="2:21" x14ac:dyDescent="0.2">
      <c r="B152" t="s">
        <v>326</v>
      </c>
      <c r="C152" t="s">
        <v>1481</v>
      </c>
      <c r="D152" t="s">
        <v>326</v>
      </c>
      <c r="E152" t="s">
        <v>326</v>
      </c>
      <c r="F152" t="s">
        <v>1746</v>
      </c>
      <c r="G152" t="s">
        <v>1747</v>
      </c>
      <c r="H152" t="s">
        <v>1647</v>
      </c>
      <c r="K152" t="s">
        <v>554</v>
      </c>
      <c r="M152" t="s">
        <v>299</v>
      </c>
      <c r="Q152" t="s">
        <v>297</v>
      </c>
      <c r="R152" t="s">
        <v>297</v>
      </c>
      <c r="S152" t="s">
        <v>1757</v>
      </c>
      <c r="T152" t="s">
        <v>1758</v>
      </c>
      <c r="U152" t="s">
        <v>1647</v>
      </c>
    </row>
    <row r="153" spans="2:21" x14ac:dyDescent="0.2">
      <c r="B153" t="s">
        <v>332</v>
      </c>
      <c r="C153" t="s">
        <v>1482</v>
      </c>
      <c r="D153" t="s">
        <v>332</v>
      </c>
      <c r="E153" t="s">
        <v>332</v>
      </c>
      <c r="F153" t="s">
        <v>1822</v>
      </c>
      <c r="G153" t="s">
        <v>1823</v>
      </c>
      <c r="H153" t="s">
        <v>1647</v>
      </c>
      <c r="K153" t="s">
        <v>301</v>
      </c>
      <c r="M153" t="s">
        <v>308</v>
      </c>
      <c r="Q153" t="s">
        <v>299</v>
      </c>
      <c r="R153" t="s">
        <v>299</v>
      </c>
      <c r="S153" t="s">
        <v>1771</v>
      </c>
      <c r="T153" t="s">
        <v>1772</v>
      </c>
      <c r="U153" t="s">
        <v>1647</v>
      </c>
    </row>
    <row r="154" spans="2:21" x14ac:dyDescent="0.2">
      <c r="B154" t="s">
        <v>334</v>
      </c>
      <c r="C154" t="s">
        <v>1483</v>
      </c>
      <c r="D154" t="s">
        <v>334</v>
      </c>
      <c r="E154" t="s">
        <v>334</v>
      </c>
      <c r="F154" t="s">
        <v>334</v>
      </c>
      <c r="G154" t="s">
        <v>1793</v>
      </c>
      <c r="H154" t="s">
        <v>1647</v>
      </c>
      <c r="K154" t="s">
        <v>303</v>
      </c>
      <c r="M154" t="s">
        <v>312</v>
      </c>
      <c r="Q154" t="s">
        <v>308</v>
      </c>
      <c r="R154" t="s">
        <v>308</v>
      </c>
      <c r="S154" t="s">
        <v>1816</v>
      </c>
      <c r="T154" t="s">
        <v>1817</v>
      </c>
      <c r="U154" t="s">
        <v>1647</v>
      </c>
    </row>
    <row r="155" spans="2:21" x14ac:dyDescent="0.2">
      <c r="B155" t="s">
        <v>338</v>
      </c>
      <c r="C155" t="s">
        <v>1484</v>
      </c>
      <c r="D155" t="s">
        <v>338</v>
      </c>
      <c r="E155" t="s">
        <v>338</v>
      </c>
      <c r="F155" t="s">
        <v>338</v>
      </c>
      <c r="G155" t="s">
        <v>1646</v>
      </c>
      <c r="H155" t="s">
        <v>1647</v>
      </c>
      <c r="K155" t="s">
        <v>303</v>
      </c>
      <c r="M155" t="s">
        <v>316</v>
      </c>
      <c r="Q155" t="s">
        <v>312</v>
      </c>
      <c r="R155" t="s">
        <v>312</v>
      </c>
      <c r="S155" t="s">
        <v>1818</v>
      </c>
      <c r="T155" t="s">
        <v>1819</v>
      </c>
      <c r="U155" t="s">
        <v>1647</v>
      </c>
    </row>
    <row r="156" spans="2:21" x14ac:dyDescent="0.2">
      <c r="B156" t="s">
        <v>340</v>
      </c>
      <c r="C156" t="s">
        <v>1485</v>
      </c>
      <c r="D156" t="s">
        <v>340</v>
      </c>
      <c r="E156" t="s">
        <v>340</v>
      </c>
      <c r="F156" t="s">
        <v>340</v>
      </c>
      <c r="G156" t="s">
        <v>1646</v>
      </c>
      <c r="H156" t="s">
        <v>1647</v>
      </c>
      <c r="K156" t="s">
        <v>33</v>
      </c>
      <c r="M156" t="s">
        <v>318</v>
      </c>
      <c r="Q156" t="s">
        <v>316</v>
      </c>
      <c r="R156" t="s">
        <v>316</v>
      </c>
      <c r="S156" t="s">
        <v>1820</v>
      </c>
      <c r="T156" t="s">
        <v>1821</v>
      </c>
      <c r="U156" t="s">
        <v>1647</v>
      </c>
    </row>
    <row r="157" spans="2:21" x14ac:dyDescent="0.2">
      <c r="B157" t="s">
        <v>344</v>
      </c>
      <c r="C157" t="s">
        <v>1486</v>
      </c>
      <c r="D157" t="s">
        <v>344</v>
      </c>
      <c r="E157" t="s">
        <v>344</v>
      </c>
      <c r="F157" t="s">
        <v>1765</v>
      </c>
      <c r="G157" t="s">
        <v>1766</v>
      </c>
      <c r="H157" t="s">
        <v>1647</v>
      </c>
      <c r="K157" t="s">
        <v>35</v>
      </c>
      <c r="M157" t="s">
        <v>332</v>
      </c>
      <c r="Q157" t="s">
        <v>318</v>
      </c>
      <c r="R157" t="s">
        <v>318</v>
      </c>
      <c r="S157" t="s">
        <v>318</v>
      </c>
      <c r="T157" t="s">
        <v>1646</v>
      </c>
      <c r="U157" t="s">
        <v>1647</v>
      </c>
    </row>
    <row r="158" spans="2:21" x14ac:dyDescent="0.2">
      <c r="B158" t="s">
        <v>346</v>
      </c>
      <c r="C158" t="s">
        <v>1487</v>
      </c>
      <c r="D158" t="s">
        <v>346</v>
      </c>
      <c r="E158" t="s">
        <v>346</v>
      </c>
      <c r="F158" t="s">
        <v>346</v>
      </c>
      <c r="G158" t="s">
        <v>1646</v>
      </c>
      <c r="H158" t="s">
        <v>1647</v>
      </c>
      <c r="K158" t="s">
        <v>310</v>
      </c>
      <c r="M158" t="s">
        <v>340</v>
      </c>
      <c r="Q158" t="s">
        <v>332</v>
      </c>
      <c r="R158" t="s">
        <v>332</v>
      </c>
      <c r="S158" t="s">
        <v>1822</v>
      </c>
      <c r="T158" t="s">
        <v>1823</v>
      </c>
      <c r="U158" t="s">
        <v>1647</v>
      </c>
    </row>
    <row r="159" spans="2:21" x14ac:dyDescent="0.2">
      <c r="B159" t="s">
        <v>348</v>
      </c>
      <c r="C159" t="s">
        <v>1488</v>
      </c>
      <c r="D159" t="s">
        <v>348</v>
      </c>
      <c r="E159" t="s">
        <v>348</v>
      </c>
      <c r="F159" t="s">
        <v>348</v>
      </c>
      <c r="G159" t="s">
        <v>1646</v>
      </c>
      <c r="H159" t="s">
        <v>1647</v>
      </c>
      <c r="K159" t="s">
        <v>312</v>
      </c>
      <c r="M159" t="s">
        <v>346</v>
      </c>
      <c r="Q159" t="s">
        <v>340</v>
      </c>
      <c r="R159" t="s">
        <v>340</v>
      </c>
      <c r="S159" t="s">
        <v>340</v>
      </c>
      <c r="T159" t="s">
        <v>1646</v>
      </c>
      <c r="U159" t="s">
        <v>1647</v>
      </c>
    </row>
    <row r="160" spans="2:21" x14ac:dyDescent="0.2">
      <c r="B160" t="s">
        <v>350</v>
      </c>
      <c r="C160" t="s">
        <v>1489</v>
      </c>
      <c r="D160" t="s">
        <v>350</v>
      </c>
      <c r="E160" t="s">
        <v>350</v>
      </c>
      <c r="F160" t="s">
        <v>1763</v>
      </c>
      <c r="G160" t="s">
        <v>1764</v>
      </c>
      <c r="H160" t="s">
        <v>1647</v>
      </c>
      <c r="K160" t="s">
        <v>37</v>
      </c>
      <c r="M160" t="s">
        <v>352</v>
      </c>
      <c r="Q160" t="s">
        <v>346</v>
      </c>
      <c r="R160" t="s">
        <v>346</v>
      </c>
      <c r="S160" t="s">
        <v>346</v>
      </c>
      <c r="T160" t="s">
        <v>1646</v>
      </c>
      <c r="U160" t="s">
        <v>1647</v>
      </c>
    </row>
    <row r="161" spans="2:21" x14ac:dyDescent="0.2">
      <c r="B161" t="s">
        <v>352</v>
      </c>
      <c r="C161" t="s">
        <v>1490</v>
      </c>
      <c r="D161" t="s">
        <v>352</v>
      </c>
      <c r="E161" t="s">
        <v>352</v>
      </c>
      <c r="F161" t="s">
        <v>352</v>
      </c>
      <c r="G161" t="s">
        <v>1646</v>
      </c>
      <c r="H161" t="s">
        <v>1647</v>
      </c>
      <c r="K161" t="s">
        <v>556</v>
      </c>
      <c r="M161" t="s">
        <v>354</v>
      </c>
      <c r="Q161" t="s">
        <v>352</v>
      </c>
      <c r="R161" t="s">
        <v>352</v>
      </c>
      <c r="S161" t="s">
        <v>352</v>
      </c>
      <c r="T161" t="s">
        <v>1646</v>
      </c>
      <c r="U161" t="s">
        <v>1647</v>
      </c>
    </row>
    <row r="162" spans="2:21" x14ac:dyDescent="0.2">
      <c r="B162" t="s">
        <v>356</v>
      </c>
      <c r="C162" t="s">
        <v>1491</v>
      </c>
      <c r="D162" t="s">
        <v>356</v>
      </c>
      <c r="E162" t="s">
        <v>356</v>
      </c>
      <c r="F162" t="s">
        <v>356</v>
      </c>
      <c r="G162" t="s">
        <v>1646</v>
      </c>
      <c r="H162" t="s">
        <v>1647</v>
      </c>
      <c r="K162" t="s">
        <v>41</v>
      </c>
      <c r="M162" t="s">
        <v>358</v>
      </c>
      <c r="Q162" t="s">
        <v>354</v>
      </c>
      <c r="R162" t="s">
        <v>354</v>
      </c>
      <c r="S162" t="s">
        <v>1824</v>
      </c>
      <c r="T162" t="s">
        <v>1825</v>
      </c>
      <c r="U162" t="s">
        <v>1647</v>
      </c>
    </row>
    <row r="163" spans="2:21" x14ac:dyDescent="0.2">
      <c r="B163" t="s">
        <v>360</v>
      </c>
      <c r="C163" t="s">
        <v>1492</v>
      </c>
      <c r="D163" t="s">
        <v>360</v>
      </c>
      <c r="E163" t="s">
        <v>360</v>
      </c>
      <c r="F163" t="s">
        <v>360</v>
      </c>
      <c r="G163" t="s">
        <v>1828</v>
      </c>
      <c r="H163" t="s">
        <v>1647</v>
      </c>
      <c r="K163" t="s">
        <v>558</v>
      </c>
      <c r="M163" t="s">
        <v>360</v>
      </c>
      <c r="Q163" t="s">
        <v>358</v>
      </c>
      <c r="R163" t="s">
        <v>358</v>
      </c>
      <c r="S163" t="s">
        <v>1826</v>
      </c>
      <c r="T163" t="s">
        <v>1827</v>
      </c>
      <c r="U163" t="s">
        <v>1647</v>
      </c>
    </row>
    <row r="164" spans="2:21" x14ac:dyDescent="0.2">
      <c r="B164" t="s">
        <v>362</v>
      </c>
      <c r="C164" t="s">
        <v>1493</v>
      </c>
      <c r="D164" t="s">
        <v>362</v>
      </c>
      <c r="E164" t="s">
        <v>362</v>
      </c>
      <c r="F164" t="s">
        <v>1806</v>
      </c>
      <c r="G164" t="s">
        <v>1807</v>
      </c>
      <c r="H164" t="s">
        <v>1647</v>
      </c>
      <c r="K164" t="s">
        <v>320</v>
      </c>
      <c r="M164" t="s">
        <v>362</v>
      </c>
      <c r="Q164" t="s">
        <v>360</v>
      </c>
      <c r="R164" t="s">
        <v>360</v>
      </c>
      <c r="S164" t="s">
        <v>360</v>
      </c>
      <c r="T164" t="s">
        <v>1828</v>
      </c>
      <c r="U164" t="s">
        <v>1647</v>
      </c>
    </row>
    <row r="165" spans="2:21" x14ac:dyDescent="0.2">
      <c r="B165" t="s">
        <v>560</v>
      </c>
      <c r="C165" t="s">
        <v>1494</v>
      </c>
      <c r="D165" t="s">
        <v>560</v>
      </c>
      <c r="E165" t="s">
        <v>560</v>
      </c>
      <c r="F165" t="s">
        <v>560</v>
      </c>
      <c r="G165" t="s">
        <v>1783</v>
      </c>
      <c r="H165" t="s">
        <v>1647</v>
      </c>
      <c r="K165" t="s">
        <v>45</v>
      </c>
      <c r="M165" t="s">
        <v>366</v>
      </c>
      <c r="Q165" t="s">
        <v>362</v>
      </c>
      <c r="R165" t="s">
        <v>362</v>
      </c>
      <c r="S165" t="s">
        <v>1806</v>
      </c>
      <c r="T165" t="s">
        <v>1807</v>
      </c>
      <c r="U165" t="s">
        <v>1647</v>
      </c>
    </row>
    <row r="166" spans="2:21" x14ac:dyDescent="0.2">
      <c r="B166" t="s">
        <v>364</v>
      </c>
      <c r="C166" t="s">
        <v>1495</v>
      </c>
      <c r="D166" t="s">
        <v>364</v>
      </c>
      <c r="E166" t="s">
        <v>364</v>
      </c>
      <c r="F166" t="s">
        <v>364</v>
      </c>
      <c r="G166" t="s">
        <v>1646</v>
      </c>
      <c r="H166" t="s">
        <v>1647</v>
      </c>
      <c r="K166" t="s">
        <v>322</v>
      </c>
      <c r="M166" t="s">
        <v>374</v>
      </c>
      <c r="Q166" t="s">
        <v>366</v>
      </c>
      <c r="R166" t="s">
        <v>366</v>
      </c>
      <c r="S166" t="s">
        <v>1812</v>
      </c>
      <c r="T166" t="s">
        <v>1813</v>
      </c>
      <c r="U166" t="s">
        <v>1647</v>
      </c>
    </row>
    <row r="167" spans="2:21" x14ac:dyDescent="0.2">
      <c r="B167" t="s">
        <v>370</v>
      </c>
      <c r="C167" t="s">
        <v>1496</v>
      </c>
      <c r="D167" t="s">
        <v>370</v>
      </c>
      <c r="E167" t="s">
        <v>370</v>
      </c>
      <c r="F167" t="s">
        <v>370</v>
      </c>
      <c r="G167" t="s">
        <v>1646</v>
      </c>
      <c r="H167" t="s">
        <v>1647</v>
      </c>
      <c r="K167" t="s">
        <v>324</v>
      </c>
      <c r="M167" t="s">
        <v>376</v>
      </c>
      <c r="Q167" t="s">
        <v>374</v>
      </c>
      <c r="R167" t="s">
        <v>374</v>
      </c>
      <c r="S167" t="s">
        <v>374</v>
      </c>
      <c r="T167" t="s">
        <v>1828</v>
      </c>
      <c r="U167" t="s">
        <v>1647</v>
      </c>
    </row>
    <row r="168" spans="2:21" x14ac:dyDescent="0.2">
      <c r="B168" t="s">
        <v>374</v>
      </c>
      <c r="C168" t="s">
        <v>1497</v>
      </c>
      <c r="D168" t="s">
        <v>374</v>
      </c>
      <c r="E168" t="s">
        <v>374</v>
      </c>
      <c r="F168" t="s">
        <v>374</v>
      </c>
      <c r="G168" t="s">
        <v>1828</v>
      </c>
      <c r="H168" t="s">
        <v>1647</v>
      </c>
      <c r="K168" t="s">
        <v>47</v>
      </c>
      <c r="M168" t="s">
        <v>380</v>
      </c>
      <c r="Q168" t="s">
        <v>376</v>
      </c>
      <c r="R168" t="s">
        <v>376</v>
      </c>
      <c r="S168" t="s">
        <v>376</v>
      </c>
      <c r="T168" t="s">
        <v>1646</v>
      </c>
      <c r="U168" t="s">
        <v>1647</v>
      </c>
    </row>
    <row r="169" spans="2:21" x14ac:dyDescent="0.2">
      <c r="B169" t="s">
        <v>376</v>
      </c>
      <c r="C169" t="s">
        <v>1498</v>
      </c>
      <c r="D169" t="s">
        <v>376</v>
      </c>
      <c r="E169" t="s">
        <v>376</v>
      </c>
      <c r="F169" t="s">
        <v>376</v>
      </c>
      <c r="G169" t="s">
        <v>1646</v>
      </c>
      <c r="H169" t="s">
        <v>1647</v>
      </c>
      <c r="K169" t="s">
        <v>49</v>
      </c>
      <c r="M169" t="s">
        <v>382</v>
      </c>
      <c r="Q169" t="s">
        <v>380</v>
      </c>
      <c r="R169" t="s">
        <v>380</v>
      </c>
      <c r="S169" t="s">
        <v>1829</v>
      </c>
      <c r="T169" t="s">
        <v>1830</v>
      </c>
      <c r="U169" t="s">
        <v>1647</v>
      </c>
    </row>
    <row r="170" spans="2:21" x14ac:dyDescent="0.2">
      <c r="B170" t="s">
        <v>378</v>
      </c>
      <c r="C170" t="s">
        <v>1499</v>
      </c>
      <c r="D170" t="s">
        <v>378</v>
      </c>
      <c r="E170" t="s">
        <v>378</v>
      </c>
      <c r="F170" t="s">
        <v>378</v>
      </c>
      <c r="G170" t="s">
        <v>1646</v>
      </c>
      <c r="H170" t="s">
        <v>1647</v>
      </c>
      <c r="K170" t="s">
        <v>51</v>
      </c>
      <c r="M170" t="s">
        <v>386</v>
      </c>
      <c r="Q170" t="s">
        <v>382</v>
      </c>
      <c r="R170" t="s">
        <v>382</v>
      </c>
      <c r="S170" t="s">
        <v>1831</v>
      </c>
      <c r="T170" t="s">
        <v>1832</v>
      </c>
      <c r="U170" t="s">
        <v>1647</v>
      </c>
    </row>
    <row r="171" spans="2:21" x14ac:dyDescent="0.2">
      <c r="B171" t="s">
        <v>380</v>
      </c>
      <c r="C171" t="s">
        <v>1500</v>
      </c>
      <c r="D171" t="s">
        <v>380</v>
      </c>
      <c r="E171" t="s">
        <v>380</v>
      </c>
      <c r="F171" t="s">
        <v>1829</v>
      </c>
      <c r="G171" t="s">
        <v>1830</v>
      </c>
      <c r="H171" t="s">
        <v>1647</v>
      </c>
      <c r="K171" t="s">
        <v>53</v>
      </c>
      <c r="M171" t="s">
        <v>388</v>
      </c>
      <c r="Q171" t="s">
        <v>386</v>
      </c>
      <c r="R171" t="s">
        <v>386</v>
      </c>
      <c r="S171" t="s">
        <v>1686</v>
      </c>
      <c r="T171" t="s">
        <v>1687</v>
      </c>
      <c r="U171" t="s">
        <v>1647</v>
      </c>
    </row>
    <row r="172" spans="2:21" x14ac:dyDescent="0.2">
      <c r="B172" t="s">
        <v>386</v>
      </c>
      <c r="C172" t="s">
        <v>1501</v>
      </c>
      <c r="D172" t="s">
        <v>386</v>
      </c>
      <c r="E172" t="s">
        <v>386</v>
      </c>
      <c r="F172" t="s">
        <v>1686</v>
      </c>
      <c r="G172" t="s">
        <v>1687</v>
      </c>
      <c r="H172" t="s">
        <v>1647</v>
      </c>
      <c r="K172" t="s">
        <v>326</v>
      </c>
      <c r="M172" t="s">
        <v>392</v>
      </c>
      <c r="Q172" t="s">
        <v>388</v>
      </c>
      <c r="R172" t="s">
        <v>388</v>
      </c>
      <c r="S172" t="s">
        <v>388</v>
      </c>
      <c r="T172" t="s">
        <v>1646</v>
      </c>
      <c r="U172" t="s">
        <v>1647</v>
      </c>
    </row>
    <row r="173" spans="2:21" x14ac:dyDescent="0.2">
      <c r="B173" t="s">
        <v>562</v>
      </c>
      <c r="C173" t="s">
        <v>1502</v>
      </c>
      <c r="D173" t="s">
        <v>562</v>
      </c>
      <c r="E173" t="s">
        <v>562</v>
      </c>
      <c r="F173" t="s">
        <v>562</v>
      </c>
      <c r="G173" t="s">
        <v>1646</v>
      </c>
      <c r="H173" t="s">
        <v>1647</v>
      </c>
      <c r="K173" t="s">
        <v>332</v>
      </c>
      <c r="M173" t="s">
        <v>398</v>
      </c>
      <c r="Q173" t="s">
        <v>392</v>
      </c>
      <c r="R173" t="s">
        <v>392</v>
      </c>
      <c r="S173" t="s">
        <v>392</v>
      </c>
      <c r="T173" t="s">
        <v>1646</v>
      </c>
      <c r="U173" t="s">
        <v>1647</v>
      </c>
    </row>
    <row r="174" spans="2:21" x14ac:dyDescent="0.2">
      <c r="B174" t="s">
        <v>392</v>
      </c>
      <c r="C174" t="s">
        <v>1503</v>
      </c>
      <c r="D174" t="s">
        <v>392</v>
      </c>
      <c r="E174" t="s">
        <v>392</v>
      </c>
      <c r="F174" t="s">
        <v>392</v>
      </c>
      <c r="G174" t="s">
        <v>1646</v>
      </c>
      <c r="H174" t="s">
        <v>1647</v>
      </c>
      <c r="K174" t="s">
        <v>55</v>
      </c>
      <c r="M174" t="s">
        <v>406</v>
      </c>
      <c r="Q174" t="s">
        <v>398</v>
      </c>
      <c r="R174" t="s">
        <v>398</v>
      </c>
      <c r="S174" t="s">
        <v>1833</v>
      </c>
      <c r="T174" t="s">
        <v>1834</v>
      </c>
      <c r="U174" t="s">
        <v>1647</v>
      </c>
    </row>
    <row r="175" spans="2:21" x14ac:dyDescent="0.2">
      <c r="B175" t="s">
        <v>394</v>
      </c>
      <c r="C175" t="s">
        <v>1504</v>
      </c>
      <c r="D175" t="s">
        <v>394</v>
      </c>
      <c r="E175" t="s">
        <v>394</v>
      </c>
      <c r="F175" t="s">
        <v>1771</v>
      </c>
      <c r="G175" t="s">
        <v>1772</v>
      </c>
      <c r="H175" t="s">
        <v>1647</v>
      </c>
      <c r="K175" t="s">
        <v>334</v>
      </c>
      <c r="M175" t="s">
        <v>408</v>
      </c>
      <c r="Q175" t="s">
        <v>406</v>
      </c>
      <c r="R175" t="s">
        <v>406</v>
      </c>
      <c r="S175" t="s">
        <v>1835</v>
      </c>
      <c r="T175" t="s">
        <v>1836</v>
      </c>
      <c r="U175" t="s">
        <v>1647</v>
      </c>
    </row>
    <row r="176" spans="2:21" x14ac:dyDescent="0.2">
      <c r="B176" t="s">
        <v>402</v>
      </c>
      <c r="C176" t="s">
        <v>1505</v>
      </c>
      <c r="D176" t="s">
        <v>402</v>
      </c>
      <c r="E176" t="s">
        <v>402</v>
      </c>
      <c r="F176" t="s">
        <v>402</v>
      </c>
      <c r="G176" t="s">
        <v>1646</v>
      </c>
      <c r="H176" t="s">
        <v>1647</v>
      </c>
      <c r="K176" t="s">
        <v>338</v>
      </c>
      <c r="M176" t="s">
        <v>410</v>
      </c>
      <c r="Q176" t="s">
        <v>408</v>
      </c>
      <c r="R176" t="s">
        <v>408</v>
      </c>
      <c r="S176" t="s">
        <v>408</v>
      </c>
      <c r="T176" t="s">
        <v>1646</v>
      </c>
      <c r="U176" t="s">
        <v>1647</v>
      </c>
    </row>
    <row r="177" spans="2:21" x14ac:dyDescent="0.2">
      <c r="B177" t="s">
        <v>564</v>
      </c>
      <c r="C177" t="s">
        <v>1506</v>
      </c>
      <c r="D177" t="s">
        <v>564</v>
      </c>
      <c r="E177" t="s">
        <v>564</v>
      </c>
      <c r="F177" t="s">
        <v>1935</v>
      </c>
      <c r="G177" t="s">
        <v>1936</v>
      </c>
      <c r="H177" t="s">
        <v>1647</v>
      </c>
      <c r="K177" t="s">
        <v>340</v>
      </c>
      <c r="M177" t="s">
        <v>414</v>
      </c>
      <c r="Q177" t="s">
        <v>410</v>
      </c>
      <c r="R177" t="s">
        <v>410</v>
      </c>
      <c r="S177" t="s">
        <v>1837</v>
      </c>
      <c r="T177" t="s">
        <v>1838</v>
      </c>
      <c r="U177" t="s">
        <v>1647</v>
      </c>
    </row>
    <row r="178" spans="2:21" x14ac:dyDescent="0.2">
      <c r="B178" t="s">
        <v>566</v>
      </c>
      <c r="C178" t="s">
        <v>1507</v>
      </c>
      <c r="D178" t="s">
        <v>566</v>
      </c>
      <c r="E178" t="s">
        <v>566</v>
      </c>
      <c r="F178" t="s">
        <v>1937</v>
      </c>
      <c r="G178" t="s">
        <v>1938</v>
      </c>
      <c r="H178" t="s">
        <v>1647</v>
      </c>
      <c r="K178" t="s">
        <v>57</v>
      </c>
      <c r="M178" t="s">
        <v>416</v>
      </c>
      <c r="Q178" t="s">
        <v>414</v>
      </c>
      <c r="R178" t="s">
        <v>414</v>
      </c>
      <c r="S178" t="s">
        <v>1839</v>
      </c>
      <c r="T178" t="s">
        <v>1840</v>
      </c>
      <c r="U178" t="s">
        <v>1647</v>
      </c>
    </row>
    <row r="179" spans="2:21" x14ac:dyDescent="0.2">
      <c r="B179" t="s">
        <v>414</v>
      </c>
      <c r="C179" t="s">
        <v>1508</v>
      </c>
      <c r="D179" t="s">
        <v>414</v>
      </c>
      <c r="E179" t="s">
        <v>414</v>
      </c>
      <c r="F179" t="s">
        <v>1839</v>
      </c>
      <c r="G179" t="s">
        <v>1840</v>
      </c>
      <c r="H179" t="s">
        <v>1647</v>
      </c>
      <c r="K179" t="s">
        <v>344</v>
      </c>
      <c r="M179" t="s">
        <v>434</v>
      </c>
      <c r="Q179" t="s">
        <v>416</v>
      </c>
      <c r="R179" t="s">
        <v>416</v>
      </c>
      <c r="S179" t="s">
        <v>416</v>
      </c>
      <c r="T179" t="s">
        <v>1646</v>
      </c>
      <c r="U179" t="s">
        <v>1647</v>
      </c>
    </row>
    <row r="180" spans="2:21" x14ac:dyDescent="0.2">
      <c r="B180" t="s">
        <v>420</v>
      </c>
      <c r="C180" t="s">
        <v>1509</v>
      </c>
      <c r="D180" t="s">
        <v>420</v>
      </c>
      <c r="E180" t="s">
        <v>420</v>
      </c>
      <c r="F180" t="s">
        <v>420</v>
      </c>
      <c r="G180" t="s">
        <v>1646</v>
      </c>
      <c r="H180" t="s">
        <v>1647</v>
      </c>
      <c r="K180" t="s">
        <v>346</v>
      </c>
      <c r="M180" t="s">
        <v>436</v>
      </c>
      <c r="Q180" t="s">
        <v>434</v>
      </c>
      <c r="R180" t="s">
        <v>434</v>
      </c>
      <c r="S180" t="s">
        <v>434</v>
      </c>
      <c r="T180" t="s">
        <v>1646</v>
      </c>
      <c r="U180" t="s">
        <v>1647</v>
      </c>
    </row>
    <row r="181" spans="2:21" x14ac:dyDescent="0.2">
      <c r="B181" t="s">
        <v>568</v>
      </c>
      <c r="C181" t="s">
        <v>1510</v>
      </c>
      <c r="D181" t="s">
        <v>568</v>
      </c>
      <c r="E181" t="s">
        <v>568</v>
      </c>
      <c r="F181" t="s">
        <v>1939</v>
      </c>
      <c r="G181" t="s">
        <v>1932</v>
      </c>
      <c r="H181" t="s">
        <v>1647</v>
      </c>
      <c r="K181" t="s">
        <v>348</v>
      </c>
      <c r="M181" t="s">
        <v>438</v>
      </c>
      <c r="Q181" t="s">
        <v>436</v>
      </c>
      <c r="R181" t="s">
        <v>436</v>
      </c>
      <c r="S181" t="s">
        <v>1703</v>
      </c>
      <c r="T181" t="s">
        <v>1704</v>
      </c>
      <c r="U181" t="s">
        <v>1647</v>
      </c>
    </row>
    <row r="182" spans="2:21" x14ac:dyDescent="0.2">
      <c r="B182" t="s">
        <v>426</v>
      </c>
      <c r="C182" t="s">
        <v>1511</v>
      </c>
      <c r="D182" t="s">
        <v>426</v>
      </c>
      <c r="E182" t="s">
        <v>426</v>
      </c>
      <c r="F182" t="s">
        <v>1750</v>
      </c>
      <c r="G182" t="s">
        <v>1751</v>
      </c>
      <c r="H182" t="s">
        <v>1647</v>
      </c>
      <c r="K182" t="s">
        <v>350</v>
      </c>
      <c r="M182" t="s">
        <v>442</v>
      </c>
      <c r="Q182" t="s">
        <v>438</v>
      </c>
      <c r="R182" t="s">
        <v>438</v>
      </c>
      <c r="S182" t="s">
        <v>1841</v>
      </c>
      <c r="T182" t="s">
        <v>1842</v>
      </c>
      <c r="U182" t="s">
        <v>1647</v>
      </c>
    </row>
    <row r="183" spans="2:21" x14ac:dyDescent="0.2">
      <c r="B183" t="s">
        <v>428</v>
      </c>
      <c r="C183" t="s">
        <v>1512</v>
      </c>
      <c r="D183" t="s">
        <v>428</v>
      </c>
      <c r="E183" t="s">
        <v>428</v>
      </c>
      <c r="F183" t="s">
        <v>428</v>
      </c>
      <c r="G183" t="s">
        <v>1754</v>
      </c>
      <c r="H183" t="s">
        <v>1647</v>
      </c>
      <c r="K183" t="s">
        <v>59</v>
      </c>
      <c r="M183" t="s">
        <v>444</v>
      </c>
      <c r="Q183" t="s">
        <v>442</v>
      </c>
      <c r="R183" t="s">
        <v>442</v>
      </c>
      <c r="S183" t="s">
        <v>442</v>
      </c>
      <c r="T183" t="s">
        <v>1646</v>
      </c>
      <c r="U183" t="s">
        <v>1647</v>
      </c>
    </row>
    <row r="184" spans="2:21" x14ac:dyDescent="0.2">
      <c r="B184" t="s">
        <v>430</v>
      </c>
      <c r="C184" t="s">
        <v>1513</v>
      </c>
      <c r="D184" t="s">
        <v>430</v>
      </c>
      <c r="E184" t="s">
        <v>430</v>
      </c>
      <c r="F184" t="s">
        <v>1719</v>
      </c>
      <c r="G184" t="s">
        <v>1720</v>
      </c>
      <c r="H184" t="s">
        <v>1647</v>
      </c>
      <c r="K184" t="s">
        <v>352</v>
      </c>
      <c r="M184" t="s">
        <v>446</v>
      </c>
      <c r="Q184" t="s">
        <v>444</v>
      </c>
      <c r="R184" t="s">
        <v>444</v>
      </c>
      <c r="S184" t="s">
        <v>1843</v>
      </c>
      <c r="T184" t="s">
        <v>1844</v>
      </c>
      <c r="U184" t="s">
        <v>1647</v>
      </c>
    </row>
    <row r="185" spans="2:21" x14ac:dyDescent="0.2">
      <c r="B185" t="s">
        <v>434</v>
      </c>
      <c r="C185" t="s">
        <v>1514</v>
      </c>
      <c r="D185" t="s">
        <v>434</v>
      </c>
      <c r="E185" t="s">
        <v>434</v>
      </c>
      <c r="F185" t="s">
        <v>434</v>
      </c>
      <c r="G185" t="s">
        <v>1646</v>
      </c>
      <c r="H185" t="s">
        <v>1647</v>
      </c>
      <c r="K185" t="s">
        <v>356</v>
      </c>
      <c r="M185" t="s">
        <v>450</v>
      </c>
      <c r="Q185" t="s">
        <v>446</v>
      </c>
      <c r="R185" t="s">
        <v>446</v>
      </c>
      <c r="S185" t="s">
        <v>446</v>
      </c>
      <c r="T185" t="s">
        <v>1646</v>
      </c>
      <c r="U185" t="s">
        <v>1647</v>
      </c>
    </row>
    <row r="186" spans="2:21" x14ac:dyDescent="0.2">
      <c r="B186" t="s">
        <v>440</v>
      </c>
      <c r="C186" t="s">
        <v>1515</v>
      </c>
      <c r="D186" t="s">
        <v>440</v>
      </c>
      <c r="E186" t="s">
        <v>440</v>
      </c>
      <c r="F186" t="s">
        <v>440</v>
      </c>
      <c r="G186" t="s">
        <v>1646</v>
      </c>
      <c r="H186" t="s">
        <v>1647</v>
      </c>
      <c r="K186" t="s">
        <v>63</v>
      </c>
      <c r="M186" t="s">
        <v>452</v>
      </c>
      <c r="Q186" t="s">
        <v>450</v>
      </c>
      <c r="R186" t="s">
        <v>450</v>
      </c>
      <c r="S186" t="s">
        <v>1845</v>
      </c>
      <c r="T186" t="s">
        <v>1846</v>
      </c>
      <c r="U186" t="s">
        <v>1647</v>
      </c>
    </row>
    <row r="187" spans="2:21" x14ac:dyDescent="0.2">
      <c r="B187" t="s">
        <v>442</v>
      </c>
      <c r="C187" t="s">
        <v>1516</v>
      </c>
      <c r="D187" t="s">
        <v>442</v>
      </c>
      <c r="E187" t="s">
        <v>442</v>
      </c>
      <c r="F187" t="s">
        <v>442</v>
      </c>
      <c r="G187" t="s">
        <v>1646</v>
      </c>
      <c r="H187" t="s">
        <v>1647</v>
      </c>
      <c r="K187" t="s">
        <v>65</v>
      </c>
      <c r="M187" t="s">
        <v>454</v>
      </c>
      <c r="Q187" t="s">
        <v>452</v>
      </c>
      <c r="R187" t="s">
        <v>452</v>
      </c>
      <c r="S187" t="s">
        <v>452</v>
      </c>
      <c r="T187" t="s">
        <v>1646</v>
      </c>
      <c r="U187" t="s">
        <v>1647</v>
      </c>
    </row>
    <row r="188" spans="2:21" x14ac:dyDescent="0.2">
      <c r="B188" t="s">
        <v>446</v>
      </c>
      <c r="C188" t="s">
        <v>1517</v>
      </c>
      <c r="D188" t="s">
        <v>446</v>
      </c>
      <c r="E188" t="s">
        <v>446</v>
      </c>
      <c r="F188" t="s">
        <v>446</v>
      </c>
      <c r="G188" t="s">
        <v>1646</v>
      </c>
      <c r="H188" t="s">
        <v>1647</v>
      </c>
      <c r="K188" t="s">
        <v>360</v>
      </c>
      <c r="M188" t="s">
        <v>456</v>
      </c>
      <c r="Q188" t="s">
        <v>454</v>
      </c>
      <c r="R188" t="s">
        <v>454</v>
      </c>
      <c r="S188" t="s">
        <v>1847</v>
      </c>
      <c r="T188" t="s">
        <v>1848</v>
      </c>
      <c r="U188" t="s">
        <v>1647</v>
      </c>
    </row>
    <row r="189" spans="2:21" x14ac:dyDescent="0.2">
      <c r="B189" t="s">
        <v>448</v>
      </c>
      <c r="C189" t="s">
        <v>1518</v>
      </c>
      <c r="D189" t="s">
        <v>448</v>
      </c>
      <c r="E189" t="s">
        <v>448</v>
      </c>
      <c r="F189" t="s">
        <v>1767</v>
      </c>
      <c r="G189" t="s">
        <v>1768</v>
      </c>
      <c r="H189" t="s">
        <v>1647</v>
      </c>
      <c r="K189" t="s">
        <v>362</v>
      </c>
      <c r="M189" t="s">
        <v>458</v>
      </c>
      <c r="Q189" t="s">
        <v>456</v>
      </c>
      <c r="R189" t="s">
        <v>456</v>
      </c>
      <c r="S189" t="s">
        <v>1668</v>
      </c>
      <c r="T189" t="s">
        <v>1669</v>
      </c>
      <c r="U189" t="s">
        <v>1647</v>
      </c>
    </row>
    <row r="190" spans="2:21" x14ac:dyDescent="0.2">
      <c r="B190" t="s">
        <v>570</v>
      </c>
      <c r="C190" t="s">
        <v>1519</v>
      </c>
      <c r="D190" t="s">
        <v>570</v>
      </c>
      <c r="E190" t="s">
        <v>570</v>
      </c>
      <c r="F190" t="s">
        <v>1917</v>
      </c>
      <c r="G190" t="s">
        <v>1918</v>
      </c>
      <c r="H190" t="s">
        <v>1647</v>
      </c>
      <c r="K190" t="s">
        <v>560</v>
      </c>
      <c r="M190" t="s">
        <v>466</v>
      </c>
      <c r="Q190" t="s">
        <v>458</v>
      </c>
      <c r="R190" t="s">
        <v>458</v>
      </c>
      <c r="S190" t="s">
        <v>458</v>
      </c>
      <c r="T190" t="s">
        <v>1798</v>
      </c>
      <c r="U190" t="s">
        <v>1647</v>
      </c>
    </row>
    <row r="191" spans="2:21" x14ac:dyDescent="0.2">
      <c r="B191" t="s">
        <v>452</v>
      </c>
      <c r="C191" t="s">
        <v>1520</v>
      </c>
      <c r="D191" t="s">
        <v>452</v>
      </c>
      <c r="E191" t="s">
        <v>452</v>
      </c>
      <c r="F191" t="s">
        <v>452</v>
      </c>
      <c r="G191" t="s">
        <v>1646</v>
      </c>
      <c r="H191" t="s">
        <v>1647</v>
      </c>
      <c r="K191" t="s">
        <v>364</v>
      </c>
      <c r="M191" t="s">
        <v>468</v>
      </c>
      <c r="Q191" t="s">
        <v>466</v>
      </c>
      <c r="R191" t="s">
        <v>466</v>
      </c>
      <c r="S191" t="s">
        <v>1750</v>
      </c>
      <c r="T191" t="s">
        <v>1849</v>
      </c>
      <c r="U191" t="s">
        <v>1647</v>
      </c>
    </row>
    <row r="192" spans="2:21" x14ac:dyDescent="0.2">
      <c r="B192" t="s">
        <v>454</v>
      </c>
      <c r="C192" t="s">
        <v>1521</v>
      </c>
      <c r="D192" t="s">
        <v>454</v>
      </c>
      <c r="E192" t="s">
        <v>454</v>
      </c>
      <c r="F192" t="s">
        <v>1847</v>
      </c>
      <c r="G192" t="s">
        <v>1848</v>
      </c>
      <c r="H192" t="s">
        <v>1647</v>
      </c>
      <c r="K192" t="s">
        <v>67</v>
      </c>
      <c r="M192" t="s">
        <v>470</v>
      </c>
      <c r="Q192" t="s">
        <v>468</v>
      </c>
      <c r="R192" t="s">
        <v>468</v>
      </c>
      <c r="S192" t="s">
        <v>1841</v>
      </c>
      <c r="T192" t="s">
        <v>1842</v>
      </c>
      <c r="U192" t="s">
        <v>1647</v>
      </c>
    </row>
    <row r="193" spans="2:21" x14ac:dyDescent="0.2">
      <c r="B193" t="s">
        <v>456</v>
      </c>
      <c r="C193" t="s">
        <v>1522</v>
      </c>
      <c r="D193" t="s">
        <v>456</v>
      </c>
      <c r="E193" t="s">
        <v>456</v>
      </c>
      <c r="F193" t="s">
        <v>1668</v>
      </c>
      <c r="G193" t="s">
        <v>1669</v>
      </c>
      <c r="H193" t="s">
        <v>1647</v>
      </c>
      <c r="K193" t="s">
        <v>69</v>
      </c>
      <c r="M193" t="s">
        <v>480</v>
      </c>
      <c r="Q193" t="s">
        <v>470</v>
      </c>
      <c r="R193" t="s">
        <v>470</v>
      </c>
      <c r="S193" t="s">
        <v>470</v>
      </c>
      <c r="T193" t="s">
        <v>1646</v>
      </c>
      <c r="U193" t="s">
        <v>1647</v>
      </c>
    </row>
    <row r="194" spans="2:21" x14ac:dyDescent="0.2">
      <c r="B194" t="s">
        <v>460</v>
      </c>
      <c r="C194" t="s">
        <v>1523</v>
      </c>
      <c r="D194" t="s">
        <v>460</v>
      </c>
      <c r="E194" t="s">
        <v>460</v>
      </c>
      <c r="F194" t="s">
        <v>1755</v>
      </c>
      <c r="G194" t="s">
        <v>1756</v>
      </c>
      <c r="H194" t="s">
        <v>1647</v>
      </c>
      <c r="K194" t="s">
        <v>370</v>
      </c>
      <c r="M194" t="s">
        <v>486</v>
      </c>
      <c r="Q194" t="s">
        <v>480</v>
      </c>
      <c r="R194" t="s">
        <v>480</v>
      </c>
      <c r="S194" t="s">
        <v>1850</v>
      </c>
      <c r="T194" t="s">
        <v>1851</v>
      </c>
      <c r="U194" t="s">
        <v>1647</v>
      </c>
    </row>
    <row r="195" spans="2:21" x14ac:dyDescent="0.2">
      <c r="B195" t="s">
        <v>462</v>
      </c>
      <c r="C195" t="s">
        <v>1524</v>
      </c>
      <c r="D195" t="s">
        <v>462</v>
      </c>
      <c r="E195" t="s">
        <v>462</v>
      </c>
      <c r="F195" t="s">
        <v>462</v>
      </c>
      <c r="G195" t="s">
        <v>1797</v>
      </c>
      <c r="H195" t="s">
        <v>1647</v>
      </c>
      <c r="K195" t="s">
        <v>71</v>
      </c>
      <c r="M195" t="s">
        <v>494</v>
      </c>
      <c r="Q195" t="s">
        <v>486</v>
      </c>
      <c r="R195" t="s">
        <v>486</v>
      </c>
      <c r="S195" t="s">
        <v>1852</v>
      </c>
      <c r="T195" t="s">
        <v>1853</v>
      </c>
      <c r="U195" t="s">
        <v>1647</v>
      </c>
    </row>
    <row r="196" spans="2:21" x14ac:dyDescent="0.2">
      <c r="B196" t="s">
        <v>572</v>
      </c>
      <c r="C196" t="s">
        <v>1525</v>
      </c>
      <c r="D196" t="s">
        <v>572</v>
      </c>
      <c r="E196" t="s">
        <v>572</v>
      </c>
      <c r="F196" t="s">
        <v>1919</v>
      </c>
      <c r="G196" t="s">
        <v>1920</v>
      </c>
      <c r="H196" t="s">
        <v>1647</v>
      </c>
      <c r="K196" t="s">
        <v>374</v>
      </c>
      <c r="M196" t="s">
        <v>499</v>
      </c>
      <c r="Q196" t="s">
        <v>494</v>
      </c>
      <c r="R196" t="s">
        <v>494</v>
      </c>
      <c r="S196" t="s">
        <v>1854</v>
      </c>
      <c r="T196" t="s">
        <v>1646</v>
      </c>
      <c r="U196" t="s">
        <v>1647</v>
      </c>
    </row>
    <row r="197" spans="2:21" x14ac:dyDescent="0.2">
      <c r="B197" t="s">
        <v>464</v>
      </c>
      <c r="C197" t="s">
        <v>1526</v>
      </c>
      <c r="D197" t="s">
        <v>464</v>
      </c>
      <c r="E197" t="s">
        <v>464</v>
      </c>
      <c r="F197" t="s">
        <v>1794</v>
      </c>
      <c r="G197" t="s">
        <v>1795</v>
      </c>
      <c r="H197" t="s">
        <v>1647</v>
      </c>
      <c r="K197" t="s">
        <v>376</v>
      </c>
      <c r="M197" t="s">
        <v>501</v>
      </c>
      <c r="Q197" t="s">
        <v>499</v>
      </c>
      <c r="R197" t="s">
        <v>499</v>
      </c>
      <c r="S197" t="s">
        <v>1855</v>
      </c>
      <c r="T197" t="s">
        <v>1856</v>
      </c>
      <c r="U197" t="s">
        <v>1647</v>
      </c>
    </row>
    <row r="198" spans="2:21" x14ac:dyDescent="0.2">
      <c r="B198" t="s">
        <v>472</v>
      </c>
      <c r="C198" t="s">
        <v>1527</v>
      </c>
      <c r="D198" t="s">
        <v>472</v>
      </c>
      <c r="E198" t="s">
        <v>472</v>
      </c>
      <c r="F198" t="s">
        <v>1779</v>
      </c>
      <c r="G198" t="s">
        <v>1780</v>
      </c>
      <c r="H198" t="s">
        <v>1647</v>
      </c>
      <c r="K198" t="s">
        <v>378</v>
      </c>
      <c r="M198" t="s">
        <v>503</v>
      </c>
      <c r="Q198" t="s">
        <v>501</v>
      </c>
      <c r="R198" t="s">
        <v>501</v>
      </c>
      <c r="S198" t="s">
        <v>1857</v>
      </c>
      <c r="T198" t="s">
        <v>1858</v>
      </c>
      <c r="U198" t="s">
        <v>1647</v>
      </c>
    </row>
    <row r="199" spans="2:21" x14ac:dyDescent="0.2">
      <c r="B199" t="s">
        <v>574</v>
      </c>
      <c r="C199" t="s">
        <v>1528</v>
      </c>
      <c r="D199" t="s">
        <v>574</v>
      </c>
      <c r="E199" t="s">
        <v>574</v>
      </c>
      <c r="F199" t="s">
        <v>1759</v>
      </c>
      <c r="G199" t="s">
        <v>1760</v>
      </c>
      <c r="H199" t="s">
        <v>1647</v>
      </c>
      <c r="K199" t="s">
        <v>380</v>
      </c>
      <c r="M199" t="s">
        <v>507</v>
      </c>
      <c r="Q199" t="s">
        <v>503</v>
      </c>
      <c r="R199" t="s">
        <v>503</v>
      </c>
      <c r="S199" t="s">
        <v>1859</v>
      </c>
      <c r="T199" t="s">
        <v>1646</v>
      </c>
      <c r="U199" t="s">
        <v>1647</v>
      </c>
    </row>
    <row r="200" spans="2:21" x14ac:dyDescent="0.2">
      <c r="B200" t="s">
        <v>478</v>
      </c>
      <c r="C200" t="s">
        <v>1529</v>
      </c>
      <c r="D200" t="s">
        <v>478</v>
      </c>
      <c r="E200" t="s">
        <v>478</v>
      </c>
      <c r="F200" t="s">
        <v>478</v>
      </c>
      <c r="G200" t="s">
        <v>1789</v>
      </c>
      <c r="H200" t="s">
        <v>1647</v>
      </c>
      <c r="K200" t="s">
        <v>77</v>
      </c>
      <c r="M200" t="s">
        <v>513</v>
      </c>
      <c r="Q200" t="s">
        <v>507</v>
      </c>
      <c r="R200" t="s">
        <v>507</v>
      </c>
      <c r="S200" t="s">
        <v>507</v>
      </c>
      <c r="T200" t="s">
        <v>1646</v>
      </c>
      <c r="U200" t="s">
        <v>1647</v>
      </c>
    </row>
    <row r="201" spans="2:21" x14ac:dyDescent="0.2">
      <c r="B201" t="s">
        <v>576</v>
      </c>
      <c r="C201" t="s">
        <v>1530</v>
      </c>
      <c r="D201" t="s">
        <v>576</v>
      </c>
      <c r="E201" t="s">
        <v>576</v>
      </c>
      <c r="F201" t="s">
        <v>576</v>
      </c>
      <c r="G201" t="s">
        <v>1646</v>
      </c>
      <c r="H201" t="s">
        <v>1647</v>
      </c>
      <c r="K201" t="s">
        <v>81</v>
      </c>
      <c r="M201" t="s">
        <v>515</v>
      </c>
      <c r="Q201" t="s">
        <v>513</v>
      </c>
      <c r="R201" t="s">
        <v>513</v>
      </c>
      <c r="S201" t="s">
        <v>1860</v>
      </c>
      <c r="T201" t="s">
        <v>1646</v>
      </c>
      <c r="U201" t="s">
        <v>1647</v>
      </c>
    </row>
    <row r="202" spans="2:21" x14ac:dyDescent="0.2">
      <c r="B202" t="s">
        <v>486</v>
      </c>
      <c r="C202" t="s">
        <v>1531</v>
      </c>
      <c r="D202" t="s">
        <v>486</v>
      </c>
      <c r="E202" t="s">
        <v>486</v>
      </c>
      <c r="F202" t="s">
        <v>1852</v>
      </c>
      <c r="G202" t="s">
        <v>1853</v>
      </c>
      <c r="H202" t="s">
        <v>1647</v>
      </c>
      <c r="K202" t="s">
        <v>386</v>
      </c>
      <c r="M202" t="s">
        <v>519</v>
      </c>
      <c r="Q202" t="s">
        <v>515</v>
      </c>
      <c r="R202" t="s">
        <v>515</v>
      </c>
      <c r="S202" t="s">
        <v>1861</v>
      </c>
      <c r="T202" t="s">
        <v>1862</v>
      </c>
      <c r="U202" t="s">
        <v>1647</v>
      </c>
    </row>
    <row r="203" spans="2:21" x14ac:dyDescent="0.2">
      <c r="B203" t="s">
        <v>492</v>
      </c>
      <c r="C203" t="s">
        <v>1532</v>
      </c>
      <c r="D203" t="s">
        <v>492</v>
      </c>
      <c r="E203" t="s">
        <v>492</v>
      </c>
      <c r="F203" t="s">
        <v>1759</v>
      </c>
      <c r="G203" t="s">
        <v>1760</v>
      </c>
      <c r="H203" t="s">
        <v>1647</v>
      </c>
      <c r="K203" t="s">
        <v>562</v>
      </c>
      <c r="M203" t="s">
        <v>521</v>
      </c>
      <c r="Q203" t="s">
        <v>519</v>
      </c>
      <c r="R203" t="s">
        <v>519</v>
      </c>
      <c r="S203" t="s">
        <v>519</v>
      </c>
      <c r="T203" t="s">
        <v>1646</v>
      </c>
      <c r="U203" t="s">
        <v>1647</v>
      </c>
    </row>
    <row r="204" spans="2:21" x14ac:dyDescent="0.2">
      <c r="B204" t="s">
        <v>578</v>
      </c>
      <c r="C204" t="s">
        <v>1533</v>
      </c>
      <c r="D204" t="s">
        <v>578</v>
      </c>
      <c r="E204" t="s">
        <v>578</v>
      </c>
      <c r="F204" t="s">
        <v>578</v>
      </c>
      <c r="G204" t="s">
        <v>1646</v>
      </c>
      <c r="H204" t="s">
        <v>1647</v>
      </c>
      <c r="K204" t="s">
        <v>392</v>
      </c>
      <c r="M204" t="s">
        <v>523</v>
      </c>
      <c r="Q204" t="s">
        <v>521</v>
      </c>
      <c r="R204" t="s">
        <v>521</v>
      </c>
      <c r="S204" t="s">
        <v>1818</v>
      </c>
      <c r="T204" t="s">
        <v>1819</v>
      </c>
      <c r="U204" t="s">
        <v>1647</v>
      </c>
    </row>
    <row r="205" spans="2:21" x14ac:dyDescent="0.2">
      <c r="B205" t="s">
        <v>499</v>
      </c>
      <c r="C205" t="s">
        <v>1534</v>
      </c>
      <c r="D205" t="s">
        <v>499</v>
      </c>
      <c r="E205" t="s">
        <v>499</v>
      </c>
      <c r="F205" t="s">
        <v>1855</v>
      </c>
      <c r="G205" t="s">
        <v>1856</v>
      </c>
      <c r="H205" t="s">
        <v>1647</v>
      </c>
      <c r="K205" t="s">
        <v>394</v>
      </c>
      <c r="M205" t="s">
        <v>527</v>
      </c>
      <c r="Q205" t="s">
        <v>523</v>
      </c>
      <c r="R205" t="s">
        <v>523</v>
      </c>
      <c r="S205" t="s">
        <v>523</v>
      </c>
      <c r="T205" t="s">
        <v>1646</v>
      </c>
      <c r="U205" t="s">
        <v>1647</v>
      </c>
    </row>
    <row r="206" spans="2:21" x14ac:dyDescent="0.2">
      <c r="B206" t="s">
        <v>505</v>
      </c>
      <c r="C206" t="s">
        <v>1535</v>
      </c>
      <c r="D206" t="s">
        <v>505</v>
      </c>
      <c r="E206" t="s">
        <v>505</v>
      </c>
      <c r="F206" t="s">
        <v>505</v>
      </c>
      <c r="G206" t="s">
        <v>1789</v>
      </c>
      <c r="H206" t="s">
        <v>1647</v>
      </c>
      <c r="K206" t="s">
        <v>95</v>
      </c>
      <c r="M206" t="s">
        <v>535</v>
      </c>
      <c r="Q206" t="s">
        <v>527</v>
      </c>
      <c r="R206" t="s">
        <v>527</v>
      </c>
      <c r="S206" t="s">
        <v>1863</v>
      </c>
      <c r="T206" t="s">
        <v>1667</v>
      </c>
      <c r="U206" t="s">
        <v>1647</v>
      </c>
    </row>
    <row r="207" spans="2:21" x14ac:dyDescent="0.2">
      <c r="B207" t="s">
        <v>507</v>
      </c>
      <c r="C207" t="s">
        <v>1536</v>
      </c>
      <c r="D207" t="s">
        <v>507</v>
      </c>
      <c r="E207" t="s">
        <v>507</v>
      </c>
      <c r="F207" t="s">
        <v>507</v>
      </c>
      <c r="G207" t="s">
        <v>1646</v>
      </c>
      <c r="H207" t="s">
        <v>1647</v>
      </c>
      <c r="K207" t="s">
        <v>97</v>
      </c>
      <c r="M207" t="s">
        <v>537</v>
      </c>
      <c r="Q207" t="s">
        <v>535</v>
      </c>
      <c r="R207" t="s">
        <v>535</v>
      </c>
      <c r="S207" t="s">
        <v>1864</v>
      </c>
      <c r="T207" t="s">
        <v>1865</v>
      </c>
      <c r="U207" t="s">
        <v>1647</v>
      </c>
    </row>
    <row r="208" spans="2:21" x14ac:dyDescent="0.2">
      <c r="B208" t="s">
        <v>509</v>
      </c>
      <c r="C208" t="s">
        <v>1537</v>
      </c>
      <c r="D208" t="s">
        <v>509</v>
      </c>
      <c r="E208" t="s">
        <v>509</v>
      </c>
      <c r="F208" t="s">
        <v>509</v>
      </c>
      <c r="G208" t="s">
        <v>1646</v>
      </c>
      <c r="H208" t="s">
        <v>1647</v>
      </c>
      <c r="K208" t="s">
        <v>99</v>
      </c>
      <c r="M208" t="s">
        <v>539</v>
      </c>
      <c r="Q208" t="s">
        <v>537</v>
      </c>
      <c r="R208" t="s">
        <v>537</v>
      </c>
      <c r="S208" t="s">
        <v>1866</v>
      </c>
      <c r="T208" t="s">
        <v>1867</v>
      </c>
      <c r="U208" t="s">
        <v>1647</v>
      </c>
    </row>
    <row r="209" spans="2:21" x14ac:dyDescent="0.2">
      <c r="B209" t="s">
        <v>511</v>
      </c>
      <c r="C209" t="s">
        <v>1538</v>
      </c>
      <c r="D209" t="s">
        <v>511</v>
      </c>
      <c r="E209" t="s">
        <v>511</v>
      </c>
      <c r="F209" t="s">
        <v>1744</v>
      </c>
      <c r="G209" t="s">
        <v>1745</v>
      </c>
      <c r="H209" t="s">
        <v>1647</v>
      </c>
      <c r="K209" t="s">
        <v>402</v>
      </c>
      <c r="M209" t="s">
        <v>545</v>
      </c>
      <c r="Q209" t="s">
        <v>539</v>
      </c>
      <c r="R209" t="s">
        <v>539</v>
      </c>
      <c r="S209" t="s">
        <v>539</v>
      </c>
      <c r="T209" t="s">
        <v>1809</v>
      </c>
      <c r="U209" t="s">
        <v>1647</v>
      </c>
    </row>
    <row r="210" spans="2:21" x14ac:dyDescent="0.2">
      <c r="B210" t="s">
        <v>517</v>
      </c>
      <c r="C210" t="s">
        <v>1539</v>
      </c>
      <c r="D210" t="s">
        <v>517</v>
      </c>
      <c r="E210" t="s">
        <v>517</v>
      </c>
      <c r="F210" t="s">
        <v>1790</v>
      </c>
      <c r="G210" t="s">
        <v>1780</v>
      </c>
      <c r="H210" t="s">
        <v>1647</v>
      </c>
      <c r="K210" t="s">
        <v>101</v>
      </c>
      <c r="M210" t="s">
        <v>265</v>
      </c>
      <c r="Q210" t="s">
        <v>545</v>
      </c>
      <c r="R210" t="s">
        <v>545</v>
      </c>
      <c r="S210" t="s">
        <v>1868</v>
      </c>
      <c r="T210" t="s">
        <v>1869</v>
      </c>
      <c r="U210" t="s">
        <v>1647</v>
      </c>
    </row>
    <row r="211" spans="2:21" x14ac:dyDescent="0.2">
      <c r="B211" t="s">
        <v>519</v>
      </c>
      <c r="C211" t="s">
        <v>1540</v>
      </c>
      <c r="D211" t="s">
        <v>519</v>
      </c>
      <c r="E211" t="s">
        <v>519</v>
      </c>
      <c r="F211" t="s">
        <v>519</v>
      </c>
      <c r="G211" t="s">
        <v>1646</v>
      </c>
      <c r="H211" t="s">
        <v>1647</v>
      </c>
      <c r="K211" t="s">
        <v>105</v>
      </c>
      <c r="M211" t="s">
        <v>269</v>
      </c>
      <c r="Q211" t="s">
        <v>265</v>
      </c>
      <c r="R211" t="s">
        <v>265</v>
      </c>
      <c r="S211" t="s">
        <v>1870</v>
      </c>
      <c r="T211" t="s">
        <v>1871</v>
      </c>
      <c r="U211" t="s">
        <v>1647</v>
      </c>
    </row>
    <row r="212" spans="2:21" x14ac:dyDescent="0.2">
      <c r="B212" t="s">
        <v>521</v>
      </c>
      <c r="C212" t="s">
        <v>1541</v>
      </c>
      <c r="D212" t="s">
        <v>521</v>
      </c>
      <c r="E212" t="s">
        <v>521</v>
      </c>
      <c r="F212" t="s">
        <v>1818</v>
      </c>
      <c r="G212" t="s">
        <v>1819</v>
      </c>
      <c r="H212" t="s">
        <v>1647</v>
      </c>
      <c r="K212" t="s">
        <v>107</v>
      </c>
      <c r="M212" t="s">
        <v>589</v>
      </c>
      <c r="Q212" t="s">
        <v>269</v>
      </c>
      <c r="R212" t="s">
        <v>269</v>
      </c>
      <c r="S212" t="s">
        <v>269</v>
      </c>
      <c r="T212" t="s">
        <v>1646</v>
      </c>
      <c r="U212" t="s">
        <v>1647</v>
      </c>
    </row>
    <row r="213" spans="2:21" x14ac:dyDescent="0.2">
      <c r="B213" t="s">
        <v>523</v>
      </c>
      <c r="C213" t="s">
        <v>1542</v>
      </c>
      <c r="D213" t="s">
        <v>523</v>
      </c>
      <c r="E213" t="s">
        <v>523</v>
      </c>
      <c r="F213" t="s">
        <v>523</v>
      </c>
      <c r="G213" t="s">
        <v>1646</v>
      </c>
      <c r="H213" t="s">
        <v>1647</v>
      </c>
      <c r="K213" t="s">
        <v>564</v>
      </c>
      <c r="M213" t="s">
        <v>279</v>
      </c>
      <c r="Q213" t="s">
        <v>589</v>
      </c>
      <c r="R213" t="s">
        <v>589</v>
      </c>
      <c r="S213" t="s">
        <v>1872</v>
      </c>
      <c r="T213" t="s">
        <v>1873</v>
      </c>
      <c r="U213" t="s">
        <v>1647</v>
      </c>
    </row>
    <row r="214" spans="2:21" x14ac:dyDescent="0.2">
      <c r="B214" t="s">
        <v>527</v>
      </c>
      <c r="C214" t="s">
        <v>1543</v>
      </c>
      <c r="D214" t="s">
        <v>527</v>
      </c>
      <c r="E214" t="s">
        <v>527</v>
      </c>
      <c r="F214" t="s">
        <v>1863</v>
      </c>
      <c r="G214" t="s">
        <v>1667</v>
      </c>
      <c r="H214" t="s">
        <v>1647</v>
      </c>
      <c r="K214" t="s">
        <v>111</v>
      </c>
      <c r="M214" t="s">
        <v>17</v>
      </c>
      <c r="Q214" t="s">
        <v>279</v>
      </c>
      <c r="R214" t="s">
        <v>279</v>
      </c>
      <c r="S214" t="s">
        <v>1814</v>
      </c>
      <c r="T214" t="s">
        <v>1874</v>
      </c>
      <c r="U214" t="s">
        <v>1647</v>
      </c>
    </row>
    <row r="215" spans="2:21" x14ac:dyDescent="0.2">
      <c r="B215" t="s">
        <v>580</v>
      </c>
      <c r="C215" t="s">
        <v>1544</v>
      </c>
      <c r="D215" t="s">
        <v>580</v>
      </c>
      <c r="E215" t="s">
        <v>580</v>
      </c>
      <c r="F215" t="s">
        <v>1940</v>
      </c>
      <c r="G215" t="s">
        <v>1941</v>
      </c>
      <c r="H215" t="s">
        <v>1647</v>
      </c>
      <c r="K215" t="s">
        <v>566</v>
      </c>
      <c r="M215" t="s">
        <v>291</v>
      </c>
      <c r="Q215" t="s">
        <v>17</v>
      </c>
      <c r="R215" t="s">
        <v>17</v>
      </c>
      <c r="S215" t="s">
        <v>1875</v>
      </c>
      <c r="T215" t="s">
        <v>1741</v>
      </c>
      <c r="U215" t="s">
        <v>1647</v>
      </c>
    </row>
    <row r="216" spans="2:21" x14ac:dyDescent="0.2">
      <c r="B216" t="s">
        <v>535</v>
      </c>
      <c r="C216" t="s">
        <v>1545</v>
      </c>
      <c r="D216" t="s">
        <v>535</v>
      </c>
      <c r="E216" t="s">
        <v>535</v>
      </c>
      <c r="F216" t="s">
        <v>1864</v>
      </c>
      <c r="G216" t="s">
        <v>1865</v>
      </c>
      <c r="H216" t="s">
        <v>1647</v>
      </c>
      <c r="K216" t="s">
        <v>117</v>
      </c>
      <c r="M216" t="s">
        <v>306</v>
      </c>
      <c r="Q216" t="s">
        <v>291</v>
      </c>
      <c r="R216" t="s">
        <v>291</v>
      </c>
      <c r="S216" t="s">
        <v>1820</v>
      </c>
      <c r="T216" t="s">
        <v>1821</v>
      </c>
      <c r="U216" t="s">
        <v>1647</v>
      </c>
    </row>
    <row r="217" spans="2:21" x14ac:dyDescent="0.2">
      <c r="B217" t="s">
        <v>537</v>
      </c>
      <c r="C217" t="s">
        <v>1546</v>
      </c>
      <c r="D217" t="s">
        <v>537</v>
      </c>
      <c r="E217" t="s">
        <v>537</v>
      </c>
      <c r="F217" t="s">
        <v>1866</v>
      </c>
      <c r="G217" t="s">
        <v>1867</v>
      </c>
      <c r="H217" t="s">
        <v>1647</v>
      </c>
      <c r="K217" t="s">
        <v>414</v>
      </c>
      <c r="M217" t="s">
        <v>314</v>
      </c>
      <c r="Q217" t="s">
        <v>306</v>
      </c>
      <c r="R217" t="s">
        <v>306</v>
      </c>
      <c r="S217" t="s">
        <v>306</v>
      </c>
      <c r="T217" t="s">
        <v>1646</v>
      </c>
      <c r="U217" t="s">
        <v>1647</v>
      </c>
    </row>
    <row r="218" spans="2:21" x14ac:dyDescent="0.2">
      <c r="B218" t="s">
        <v>541</v>
      </c>
      <c r="C218" t="s">
        <v>1547</v>
      </c>
      <c r="D218" t="s">
        <v>541</v>
      </c>
      <c r="E218" t="s">
        <v>541</v>
      </c>
      <c r="F218" t="s">
        <v>1761</v>
      </c>
      <c r="G218" t="s">
        <v>1762</v>
      </c>
      <c r="H218" t="s">
        <v>1647</v>
      </c>
      <c r="K218" t="s">
        <v>119</v>
      </c>
      <c r="M218" t="s">
        <v>328</v>
      </c>
      <c r="Q218" t="s">
        <v>314</v>
      </c>
      <c r="R218" t="s">
        <v>314</v>
      </c>
      <c r="S218" t="s">
        <v>314</v>
      </c>
      <c r="T218" t="s">
        <v>1646</v>
      </c>
      <c r="U218" t="s">
        <v>1647</v>
      </c>
    </row>
    <row r="219" spans="2:21" x14ac:dyDescent="0.2">
      <c r="B219" t="s">
        <v>582</v>
      </c>
      <c r="C219" t="s">
        <v>1548</v>
      </c>
      <c r="D219" t="s">
        <v>582</v>
      </c>
      <c r="E219" t="s">
        <v>582</v>
      </c>
      <c r="F219" t="s">
        <v>1942</v>
      </c>
      <c r="G219" t="s">
        <v>1943</v>
      </c>
      <c r="H219" t="s">
        <v>1647</v>
      </c>
      <c r="K219" t="s">
        <v>420</v>
      </c>
      <c r="M219" t="s">
        <v>330</v>
      </c>
      <c r="Q219" t="s">
        <v>328</v>
      </c>
      <c r="R219" t="s">
        <v>328</v>
      </c>
      <c r="S219" t="s">
        <v>328</v>
      </c>
      <c r="T219" t="s">
        <v>1646</v>
      </c>
      <c r="U219" t="s">
        <v>1647</v>
      </c>
    </row>
    <row r="220" spans="2:21" x14ac:dyDescent="0.2">
      <c r="B220" t="s">
        <v>543</v>
      </c>
      <c r="C220" t="s">
        <v>1549</v>
      </c>
      <c r="D220" t="s">
        <v>543</v>
      </c>
      <c r="E220" t="s">
        <v>543</v>
      </c>
      <c r="F220" t="s">
        <v>543</v>
      </c>
      <c r="G220" t="s">
        <v>1646</v>
      </c>
      <c r="H220" t="s">
        <v>1647</v>
      </c>
      <c r="K220" t="s">
        <v>568</v>
      </c>
      <c r="M220" t="s">
        <v>336</v>
      </c>
      <c r="Q220" t="s">
        <v>330</v>
      </c>
      <c r="R220" t="s">
        <v>330</v>
      </c>
      <c r="S220" t="s">
        <v>1876</v>
      </c>
      <c r="T220" t="s">
        <v>1874</v>
      </c>
      <c r="U220" t="s">
        <v>1647</v>
      </c>
    </row>
    <row r="221" spans="2:21" x14ac:dyDescent="0.2">
      <c r="B221" t="s">
        <v>470</v>
      </c>
      <c r="C221" t="s">
        <v>1550</v>
      </c>
      <c r="D221" t="s">
        <v>470</v>
      </c>
      <c r="E221" t="s">
        <v>470</v>
      </c>
      <c r="F221" t="s">
        <v>470</v>
      </c>
      <c r="G221" t="s">
        <v>1646</v>
      </c>
      <c r="H221" t="s">
        <v>1647</v>
      </c>
      <c r="K221" t="s">
        <v>123</v>
      </c>
      <c r="M221" t="s">
        <v>342</v>
      </c>
      <c r="Q221" t="s">
        <v>336</v>
      </c>
      <c r="R221" t="s">
        <v>336</v>
      </c>
      <c r="S221" t="s">
        <v>336</v>
      </c>
      <c r="T221" t="s">
        <v>1646</v>
      </c>
      <c r="U221" t="s">
        <v>1647</v>
      </c>
    </row>
    <row r="222" spans="2:21" x14ac:dyDescent="0.2">
      <c r="B222" t="s">
        <v>450</v>
      </c>
      <c r="C222" t="s">
        <v>1551</v>
      </c>
      <c r="D222" t="s">
        <v>450</v>
      </c>
      <c r="E222" t="s">
        <v>450</v>
      </c>
      <c r="F222" t="s">
        <v>1845</v>
      </c>
      <c r="G222" t="s">
        <v>1846</v>
      </c>
      <c r="H222" t="s">
        <v>1647</v>
      </c>
      <c r="K222" t="s">
        <v>426</v>
      </c>
      <c r="M222" t="s">
        <v>368</v>
      </c>
      <c r="Q222" t="s">
        <v>342</v>
      </c>
      <c r="R222" t="s">
        <v>342</v>
      </c>
      <c r="S222" t="s">
        <v>1877</v>
      </c>
      <c r="T222" t="s">
        <v>1844</v>
      </c>
      <c r="U222" t="s">
        <v>1647</v>
      </c>
    </row>
    <row r="223" spans="2:21" x14ac:dyDescent="0.2">
      <c r="B223" t="s">
        <v>515</v>
      </c>
      <c r="C223" t="s">
        <v>1552</v>
      </c>
      <c r="D223" t="s">
        <v>515</v>
      </c>
      <c r="E223" t="s">
        <v>515</v>
      </c>
      <c r="F223" t="s">
        <v>1861</v>
      </c>
      <c r="G223" t="s">
        <v>1862</v>
      </c>
      <c r="H223" t="s">
        <v>1647</v>
      </c>
      <c r="K223" t="s">
        <v>428</v>
      </c>
      <c r="M223" t="s">
        <v>372</v>
      </c>
      <c r="Q223" t="s">
        <v>368</v>
      </c>
      <c r="R223" t="s">
        <v>368</v>
      </c>
      <c r="S223" t="s">
        <v>368</v>
      </c>
      <c r="T223" t="s">
        <v>1646</v>
      </c>
      <c r="U223" t="s">
        <v>1647</v>
      </c>
    </row>
    <row r="224" spans="2:21" x14ac:dyDescent="0.2">
      <c r="B224" t="s">
        <v>444</v>
      </c>
      <c r="C224" t="s">
        <v>1553</v>
      </c>
      <c r="D224" t="s">
        <v>444</v>
      </c>
      <c r="E224" t="s">
        <v>444</v>
      </c>
      <c r="F224" t="s">
        <v>1843</v>
      </c>
      <c r="G224" t="s">
        <v>1844</v>
      </c>
      <c r="H224" t="s">
        <v>1647</v>
      </c>
      <c r="K224" t="s">
        <v>430</v>
      </c>
      <c r="M224" t="s">
        <v>73</v>
      </c>
      <c r="Q224" t="s">
        <v>372</v>
      </c>
      <c r="R224" t="s">
        <v>372</v>
      </c>
      <c r="S224" t="s">
        <v>1878</v>
      </c>
      <c r="T224" t="s">
        <v>1879</v>
      </c>
      <c r="U224" t="s">
        <v>1647</v>
      </c>
    </row>
    <row r="225" spans="2:21" x14ac:dyDescent="0.2">
      <c r="B225" t="s">
        <v>358</v>
      </c>
      <c r="C225" t="s">
        <v>1554</v>
      </c>
      <c r="D225" t="s">
        <v>358</v>
      </c>
      <c r="E225" t="s">
        <v>358</v>
      </c>
      <c r="F225" t="s">
        <v>1826</v>
      </c>
      <c r="G225" t="s">
        <v>1827</v>
      </c>
      <c r="H225" t="s">
        <v>1647</v>
      </c>
      <c r="K225" t="s">
        <v>129</v>
      </c>
      <c r="M225" t="s">
        <v>75</v>
      </c>
      <c r="Q225" t="s">
        <v>73</v>
      </c>
      <c r="R225" t="s">
        <v>73</v>
      </c>
      <c r="S225" t="s">
        <v>1705</v>
      </c>
      <c r="T225" t="s">
        <v>1706</v>
      </c>
      <c r="U225" t="s">
        <v>1647</v>
      </c>
    </row>
    <row r="226" spans="2:21" x14ac:dyDescent="0.2">
      <c r="B226" t="s">
        <v>408</v>
      </c>
      <c r="C226" t="s">
        <v>1555</v>
      </c>
      <c r="D226" t="s">
        <v>408</v>
      </c>
      <c r="E226" t="s">
        <v>408</v>
      </c>
      <c r="F226" t="s">
        <v>408</v>
      </c>
      <c r="G226" t="s">
        <v>1646</v>
      </c>
      <c r="H226" t="s">
        <v>1647</v>
      </c>
      <c r="K226" t="s">
        <v>434</v>
      </c>
      <c r="M226" t="s">
        <v>605</v>
      </c>
      <c r="Q226" t="s">
        <v>75</v>
      </c>
      <c r="R226" t="s">
        <v>75</v>
      </c>
      <c r="S226" t="s">
        <v>75</v>
      </c>
      <c r="T226" t="s">
        <v>1646</v>
      </c>
      <c r="U226" t="s">
        <v>1647</v>
      </c>
    </row>
    <row r="227" spans="2:21" x14ac:dyDescent="0.2">
      <c r="B227" t="s">
        <v>466</v>
      </c>
      <c r="C227" t="s">
        <v>1556</v>
      </c>
      <c r="D227" t="s">
        <v>466</v>
      </c>
      <c r="E227" t="s">
        <v>466</v>
      </c>
      <c r="F227" t="s">
        <v>1750</v>
      </c>
      <c r="G227" t="s">
        <v>1849</v>
      </c>
      <c r="H227" t="s">
        <v>1647</v>
      </c>
      <c r="K227" t="s">
        <v>131</v>
      </c>
      <c r="M227" t="s">
        <v>384</v>
      </c>
      <c r="Q227" t="s">
        <v>605</v>
      </c>
      <c r="R227" t="s">
        <v>605</v>
      </c>
      <c r="S227" t="s">
        <v>1880</v>
      </c>
      <c r="T227" t="s">
        <v>1881</v>
      </c>
      <c r="U227" t="s">
        <v>1647</v>
      </c>
    </row>
    <row r="228" spans="2:21" x14ac:dyDescent="0.2">
      <c r="B228" t="s">
        <v>494</v>
      </c>
      <c r="C228" t="s">
        <v>1557</v>
      </c>
      <c r="D228" t="s">
        <v>494</v>
      </c>
      <c r="E228" t="s">
        <v>494</v>
      </c>
      <c r="F228" t="s">
        <v>1854</v>
      </c>
      <c r="G228" t="s">
        <v>1646</v>
      </c>
      <c r="H228" t="s">
        <v>1647</v>
      </c>
      <c r="K228" t="s">
        <v>133</v>
      </c>
      <c r="M228" t="s">
        <v>390</v>
      </c>
      <c r="Q228" t="s">
        <v>384</v>
      </c>
      <c r="R228" t="s">
        <v>384</v>
      </c>
      <c r="S228" t="s">
        <v>1833</v>
      </c>
      <c r="T228" t="s">
        <v>1834</v>
      </c>
      <c r="U228" t="s">
        <v>1647</v>
      </c>
    </row>
    <row r="229" spans="2:21" x14ac:dyDescent="0.2">
      <c r="B229" t="s">
        <v>438</v>
      </c>
      <c r="C229" t="s">
        <v>1558</v>
      </c>
      <c r="D229" t="s">
        <v>438</v>
      </c>
      <c r="E229" t="s">
        <v>438</v>
      </c>
      <c r="F229" t="s">
        <v>1841</v>
      </c>
      <c r="G229" t="s">
        <v>1842</v>
      </c>
      <c r="H229" t="s">
        <v>1647</v>
      </c>
      <c r="K229" t="s">
        <v>440</v>
      </c>
      <c r="M229" t="s">
        <v>396</v>
      </c>
      <c r="Q229" t="s">
        <v>390</v>
      </c>
      <c r="R229" t="s">
        <v>390</v>
      </c>
      <c r="S229" t="s">
        <v>1882</v>
      </c>
      <c r="T229" t="s">
        <v>1883</v>
      </c>
      <c r="U229" t="s">
        <v>1647</v>
      </c>
    </row>
    <row r="230" spans="2:21" x14ac:dyDescent="0.2">
      <c r="B230" t="s">
        <v>503</v>
      </c>
      <c r="C230" t="s">
        <v>1559</v>
      </c>
      <c r="D230" t="s">
        <v>503</v>
      </c>
      <c r="E230" t="s">
        <v>503</v>
      </c>
      <c r="F230" t="s">
        <v>1859</v>
      </c>
      <c r="G230" t="s">
        <v>1646</v>
      </c>
      <c r="H230" t="s">
        <v>1647</v>
      </c>
      <c r="K230" t="s">
        <v>442</v>
      </c>
      <c r="M230" t="s">
        <v>93</v>
      </c>
      <c r="Q230" t="s">
        <v>396</v>
      </c>
      <c r="R230" t="s">
        <v>396</v>
      </c>
      <c r="S230" t="s">
        <v>1884</v>
      </c>
      <c r="T230" t="s">
        <v>1885</v>
      </c>
      <c r="U230" t="s">
        <v>1647</v>
      </c>
    </row>
    <row r="231" spans="2:21" x14ac:dyDescent="0.2">
      <c r="B231" t="s">
        <v>354</v>
      </c>
      <c r="C231" t="s">
        <v>1560</v>
      </c>
      <c r="D231" t="s">
        <v>354</v>
      </c>
      <c r="E231" t="s">
        <v>354</v>
      </c>
      <c r="F231" t="s">
        <v>1824</v>
      </c>
      <c r="G231" t="s">
        <v>1825</v>
      </c>
      <c r="H231" t="s">
        <v>1647</v>
      </c>
      <c r="K231" t="s">
        <v>137</v>
      </c>
      <c r="M231" t="s">
        <v>400</v>
      </c>
      <c r="Q231" t="s">
        <v>93</v>
      </c>
      <c r="R231" t="s">
        <v>93</v>
      </c>
      <c r="S231" t="s">
        <v>93</v>
      </c>
      <c r="T231" t="s">
        <v>1886</v>
      </c>
      <c r="U231" t="s">
        <v>1647</v>
      </c>
    </row>
    <row r="232" spans="2:21" x14ac:dyDescent="0.2">
      <c r="B232" t="s">
        <v>613</v>
      </c>
      <c r="C232" t="s">
        <v>1561</v>
      </c>
      <c r="D232" t="s">
        <v>613</v>
      </c>
      <c r="E232" t="s">
        <v>613</v>
      </c>
      <c r="F232" t="s">
        <v>1892</v>
      </c>
      <c r="G232" t="s">
        <v>1893</v>
      </c>
      <c r="H232" t="s">
        <v>1647</v>
      </c>
      <c r="K232" t="s">
        <v>446</v>
      </c>
      <c r="M232" t="s">
        <v>404</v>
      </c>
      <c r="Q232" t="s">
        <v>400</v>
      </c>
      <c r="R232" t="s">
        <v>400</v>
      </c>
      <c r="S232" t="s">
        <v>1882</v>
      </c>
      <c r="T232" t="s">
        <v>1883</v>
      </c>
      <c r="U232" t="s">
        <v>1647</v>
      </c>
    </row>
    <row r="233" spans="2:21" x14ac:dyDescent="0.2">
      <c r="B233" t="s">
        <v>480</v>
      </c>
      <c r="C233" t="s">
        <v>1562</v>
      </c>
      <c r="D233" t="s">
        <v>480</v>
      </c>
      <c r="E233" t="s">
        <v>480</v>
      </c>
      <c r="F233" t="s">
        <v>1850</v>
      </c>
      <c r="G233" t="s">
        <v>1851</v>
      </c>
      <c r="H233" t="s">
        <v>1647</v>
      </c>
      <c r="K233" t="s">
        <v>448</v>
      </c>
      <c r="M233" t="s">
        <v>607</v>
      </c>
      <c r="Q233" t="s">
        <v>404</v>
      </c>
      <c r="R233" t="s">
        <v>404</v>
      </c>
      <c r="S233" t="s">
        <v>404</v>
      </c>
      <c r="T233" t="s">
        <v>1646</v>
      </c>
      <c r="U233" t="s">
        <v>1647</v>
      </c>
    </row>
    <row r="234" spans="2:21" x14ac:dyDescent="0.2">
      <c r="B234" t="s">
        <v>609</v>
      </c>
      <c r="C234" t="s">
        <v>1563</v>
      </c>
      <c r="D234" t="s">
        <v>609</v>
      </c>
      <c r="E234" t="s">
        <v>609</v>
      </c>
      <c r="F234" t="s">
        <v>609</v>
      </c>
      <c r="G234" t="s">
        <v>1646</v>
      </c>
      <c r="H234" t="s">
        <v>1647</v>
      </c>
      <c r="K234" t="s">
        <v>570</v>
      </c>
      <c r="M234" t="s">
        <v>109</v>
      </c>
      <c r="Q234" t="s">
        <v>607</v>
      </c>
      <c r="R234" t="s">
        <v>607</v>
      </c>
      <c r="S234" t="s">
        <v>1839</v>
      </c>
      <c r="T234" t="s">
        <v>1840</v>
      </c>
      <c r="U234" t="s">
        <v>1647</v>
      </c>
    </row>
    <row r="235" spans="2:21" x14ac:dyDescent="0.2">
      <c r="B235" t="s">
        <v>468</v>
      </c>
      <c r="C235" t="s">
        <v>1564</v>
      </c>
      <c r="D235" t="s">
        <v>468</v>
      </c>
      <c r="E235" t="s">
        <v>468</v>
      </c>
      <c r="F235" t="s">
        <v>1841</v>
      </c>
      <c r="G235" t="s">
        <v>1842</v>
      </c>
      <c r="H235" t="s">
        <v>1647</v>
      </c>
      <c r="K235" t="s">
        <v>151</v>
      </c>
      <c r="M235" t="s">
        <v>113</v>
      </c>
      <c r="Q235" t="s">
        <v>109</v>
      </c>
      <c r="R235" t="s">
        <v>109</v>
      </c>
      <c r="S235" t="s">
        <v>1752</v>
      </c>
      <c r="T235" t="s">
        <v>1753</v>
      </c>
      <c r="U235" t="s">
        <v>1647</v>
      </c>
    </row>
    <row r="236" spans="2:21" x14ac:dyDescent="0.2">
      <c r="B236" t="s">
        <v>366</v>
      </c>
      <c r="C236" t="s">
        <v>1565</v>
      </c>
      <c r="D236" t="s">
        <v>366</v>
      </c>
      <c r="E236" t="s">
        <v>366</v>
      </c>
      <c r="F236" t="s">
        <v>1812</v>
      </c>
      <c r="G236" t="s">
        <v>1813</v>
      </c>
      <c r="H236" t="s">
        <v>1647</v>
      </c>
      <c r="K236" t="s">
        <v>153</v>
      </c>
      <c r="M236" t="s">
        <v>418</v>
      </c>
      <c r="Q236" t="s">
        <v>113</v>
      </c>
      <c r="R236" t="s">
        <v>113</v>
      </c>
      <c r="S236" t="s">
        <v>1682</v>
      </c>
      <c r="T236" t="s">
        <v>1683</v>
      </c>
      <c r="U236" t="s">
        <v>1647</v>
      </c>
    </row>
    <row r="237" spans="2:21" x14ac:dyDescent="0.2">
      <c r="B237" t="s">
        <v>398</v>
      </c>
      <c r="C237" t="s">
        <v>1566</v>
      </c>
      <c r="D237" t="s">
        <v>398</v>
      </c>
      <c r="E237" t="s">
        <v>398</v>
      </c>
      <c r="F237" t="s">
        <v>1833</v>
      </c>
      <c r="G237" t="s">
        <v>1834</v>
      </c>
      <c r="H237" t="s">
        <v>1647</v>
      </c>
      <c r="K237" t="s">
        <v>452</v>
      </c>
      <c r="M237" t="s">
        <v>422</v>
      </c>
      <c r="Q237" t="s">
        <v>418</v>
      </c>
      <c r="R237" t="s">
        <v>418</v>
      </c>
      <c r="S237" t="s">
        <v>1876</v>
      </c>
      <c r="T237" t="s">
        <v>1874</v>
      </c>
      <c r="U237" t="s">
        <v>1647</v>
      </c>
    </row>
    <row r="238" spans="2:21" x14ac:dyDescent="0.2">
      <c r="B238" t="s">
        <v>416</v>
      </c>
      <c r="C238" t="s">
        <v>1567</v>
      </c>
      <c r="D238" t="s">
        <v>416</v>
      </c>
      <c r="E238" t="s">
        <v>416</v>
      </c>
      <c r="F238" t="s">
        <v>416</v>
      </c>
      <c r="G238" t="s">
        <v>1646</v>
      </c>
      <c r="H238" t="s">
        <v>1647</v>
      </c>
      <c r="K238" t="s">
        <v>155</v>
      </c>
      <c r="M238" t="s">
        <v>424</v>
      </c>
      <c r="Q238" t="s">
        <v>422</v>
      </c>
      <c r="R238" t="s">
        <v>422</v>
      </c>
      <c r="S238" t="s">
        <v>422</v>
      </c>
      <c r="T238" t="s">
        <v>1646</v>
      </c>
      <c r="U238" t="s">
        <v>1647</v>
      </c>
    </row>
    <row r="239" spans="2:21" x14ac:dyDescent="0.2">
      <c r="B239" t="s">
        <v>299</v>
      </c>
      <c r="C239" t="s">
        <v>1568</v>
      </c>
      <c r="D239" t="s">
        <v>299</v>
      </c>
      <c r="E239" t="s">
        <v>299</v>
      </c>
      <c r="F239" t="s">
        <v>1771</v>
      </c>
      <c r="G239" t="s">
        <v>1772</v>
      </c>
      <c r="H239" t="s">
        <v>1647</v>
      </c>
      <c r="K239" t="s">
        <v>454</v>
      </c>
      <c r="M239" t="s">
        <v>125</v>
      </c>
      <c r="Q239" t="s">
        <v>424</v>
      </c>
      <c r="R239" t="s">
        <v>424</v>
      </c>
      <c r="S239" t="s">
        <v>1725</v>
      </c>
      <c r="T239" t="s">
        <v>1726</v>
      </c>
      <c r="U239" t="s">
        <v>1647</v>
      </c>
    </row>
    <row r="240" spans="2:21" x14ac:dyDescent="0.2">
      <c r="B240" t="s">
        <v>436</v>
      </c>
      <c r="C240" t="s">
        <v>1569</v>
      </c>
      <c r="D240" t="s">
        <v>436</v>
      </c>
      <c r="E240" t="s">
        <v>436</v>
      </c>
      <c r="F240" t="s">
        <v>1703</v>
      </c>
      <c r="G240" t="s">
        <v>1704</v>
      </c>
      <c r="H240" t="s">
        <v>1647</v>
      </c>
      <c r="K240" t="s">
        <v>157</v>
      </c>
      <c r="M240" t="s">
        <v>127</v>
      </c>
      <c r="Q240" t="s">
        <v>125</v>
      </c>
      <c r="R240" t="s">
        <v>125</v>
      </c>
      <c r="S240" t="s">
        <v>1771</v>
      </c>
      <c r="T240" t="s">
        <v>1772</v>
      </c>
      <c r="U240" t="s">
        <v>1647</v>
      </c>
    </row>
    <row r="241" spans="2:21" x14ac:dyDescent="0.2">
      <c r="B241" t="s">
        <v>316</v>
      </c>
      <c r="C241" t="s">
        <v>1570</v>
      </c>
      <c r="D241" t="s">
        <v>316</v>
      </c>
      <c r="E241" t="s">
        <v>316</v>
      </c>
      <c r="F241" t="s">
        <v>1820</v>
      </c>
      <c r="G241" t="s">
        <v>1821</v>
      </c>
      <c r="H241" t="s">
        <v>1647</v>
      </c>
      <c r="K241" t="s">
        <v>456</v>
      </c>
      <c r="M241" t="s">
        <v>432</v>
      </c>
      <c r="Q241" t="s">
        <v>127</v>
      </c>
      <c r="R241" t="s">
        <v>127</v>
      </c>
      <c r="S241" t="s">
        <v>127</v>
      </c>
      <c r="T241" t="s">
        <v>1646</v>
      </c>
      <c r="U241" t="s">
        <v>1647</v>
      </c>
    </row>
    <row r="242" spans="2:21" x14ac:dyDescent="0.2">
      <c r="B242" t="s">
        <v>275</v>
      </c>
      <c r="C242" t="s">
        <v>1571</v>
      </c>
      <c r="D242" t="s">
        <v>275</v>
      </c>
      <c r="E242" t="s">
        <v>275</v>
      </c>
      <c r="F242" t="s">
        <v>275</v>
      </c>
      <c r="G242" t="s">
        <v>1809</v>
      </c>
      <c r="H242" t="s">
        <v>1647</v>
      </c>
      <c r="K242" t="s">
        <v>460</v>
      </c>
      <c r="M242" t="s">
        <v>135</v>
      </c>
      <c r="Q242" t="s">
        <v>432</v>
      </c>
      <c r="R242" t="s">
        <v>432</v>
      </c>
      <c r="S242" t="s">
        <v>432</v>
      </c>
      <c r="T242" t="s">
        <v>1887</v>
      </c>
      <c r="U242" t="s">
        <v>1647</v>
      </c>
    </row>
    <row r="243" spans="2:21" x14ac:dyDescent="0.2">
      <c r="B243" t="s">
        <v>607</v>
      </c>
      <c r="C243" t="s">
        <v>1572</v>
      </c>
      <c r="D243" t="s">
        <v>607</v>
      </c>
      <c r="E243" t="s">
        <v>607</v>
      </c>
      <c r="F243" t="s">
        <v>1839</v>
      </c>
      <c r="G243" t="s">
        <v>1840</v>
      </c>
      <c r="H243" t="s">
        <v>1647</v>
      </c>
      <c r="K243" t="s">
        <v>462</v>
      </c>
      <c r="M243" t="s">
        <v>609</v>
      </c>
      <c r="Q243" t="s">
        <v>135</v>
      </c>
      <c r="R243" t="s">
        <v>135</v>
      </c>
      <c r="S243" t="s">
        <v>1771</v>
      </c>
      <c r="T243" t="s">
        <v>1772</v>
      </c>
      <c r="U243" t="s">
        <v>1647</v>
      </c>
    </row>
    <row r="244" spans="2:21" x14ac:dyDescent="0.2">
      <c r="B244" t="s">
        <v>410</v>
      </c>
      <c r="C244" t="s">
        <v>1573</v>
      </c>
      <c r="D244" t="s">
        <v>410</v>
      </c>
      <c r="E244" t="s">
        <v>410</v>
      </c>
      <c r="F244" t="s">
        <v>1837</v>
      </c>
      <c r="G244" t="s">
        <v>1838</v>
      </c>
      <c r="H244" t="s">
        <v>1647</v>
      </c>
      <c r="K244" t="s">
        <v>572</v>
      </c>
      <c r="M244" t="s">
        <v>147</v>
      </c>
      <c r="Q244" t="s">
        <v>609</v>
      </c>
      <c r="R244" t="s">
        <v>609</v>
      </c>
      <c r="S244" t="s">
        <v>609</v>
      </c>
      <c r="T244" t="s">
        <v>1646</v>
      </c>
      <c r="U244" t="s">
        <v>1647</v>
      </c>
    </row>
    <row r="245" spans="2:21" x14ac:dyDescent="0.2">
      <c r="B245" t="s">
        <v>458</v>
      </c>
      <c r="C245" t="s">
        <v>1574</v>
      </c>
      <c r="D245" t="s">
        <v>458</v>
      </c>
      <c r="E245" t="s">
        <v>458</v>
      </c>
      <c r="F245" t="s">
        <v>458</v>
      </c>
      <c r="G245" t="s">
        <v>1798</v>
      </c>
      <c r="H245" t="s">
        <v>1647</v>
      </c>
      <c r="K245" t="s">
        <v>464</v>
      </c>
      <c r="M245" t="s">
        <v>611</v>
      </c>
      <c r="Q245" t="s">
        <v>147</v>
      </c>
      <c r="R245" t="s">
        <v>147</v>
      </c>
      <c r="S245" t="s">
        <v>1888</v>
      </c>
      <c r="T245" t="s">
        <v>1889</v>
      </c>
      <c r="U245" t="s">
        <v>1647</v>
      </c>
    </row>
    <row r="246" spans="2:21" x14ac:dyDescent="0.2">
      <c r="B246" t="s">
        <v>308</v>
      </c>
      <c r="C246" t="s">
        <v>1575</v>
      </c>
      <c r="D246" t="s">
        <v>308</v>
      </c>
      <c r="E246" t="s">
        <v>308</v>
      </c>
      <c r="F246" t="s">
        <v>1816</v>
      </c>
      <c r="G246" t="s">
        <v>1817</v>
      </c>
      <c r="H246" t="s">
        <v>1647</v>
      </c>
      <c r="K246" t="s">
        <v>169</v>
      </c>
      <c r="M246" t="s">
        <v>159</v>
      </c>
      <c r="Q246" t="s">
        <v>611</v>
      </c>
      <c r="R246" t="s">
        <v>611</v>
      </c>
      <c r="S246" t="s">
        <v>1890</v>
      </c>
      <c r="T246" t="s">
        <v>1891</v>
      </c>
      <c r="U246" t="s">
        <v>1647</v>
      </c>
    </row>
    <row r="247" spans="2:21" x14ac:dyDescent="0.2">
      <c r="B247" t="s">
        <v>501</v>
      </c>
      <c r="C247" t="s">
        <v>1576</v>
      </c>
      <c r="D247" t="s">
        <v>501</v>
      </c>
      <c r="E247" t="s">
        <v>501</v>
      </c>
      <c r="F247" t="s">
        <v>1857</v>
      </c>
      <c r="G247" t="s">
        <v>1858</v>
      </c>
      <c r="H247" t="s">
        <v>1647</v>
      </c>
      <c r="K247" t="s">
        <v>177</v>
      </c>
      <c r="M247" t="s">
        <v>161</v>
      </c>
      <c r="Q247" t="s">
        <v>159</v>
      </c>
      <c r="R247" t="s">
        <v>159</v>
      </c>
      <c r="S247" t="s">
        <v>159</v>
      </c>
      <c r="T247" t="s">
        <v>1646</v>
      </c>
      <c r="U247" t="s">
        <v>1647</v>
      </c>
    </row>
    <row r="248" spans="2:21" x14ac:dyDescent="0.2">
      <c r="B248" t="s">
        <v>513</v>
      </c>
      <c r="C248" t="s">
        <v>1577</v>
      </c>
      <c r="D248" t="s">
        <v>513</v>
      </c>
      <c r="E248" t="s">
        <v>513</v>
      </c>
      <c r="F248" t="s">
        <v>1860</v>
      </c>
      <c r="G248" t="s">
        <v>1646</v>
      </c>
      <c r="H248" t="s">
        <v>1647</v>
      </c>
      <c r="K248" t="s">
        <v>179</v>
      </c>
      <c r="M248" t="s">
        <v>613</v>
      </c>
      <c r="Q248" t="s">
        <v>161</v>
      </c>
      <c r="R248" t="s">
        <v>161</v>
      </c>
      <c r="S248" t="s">
        <v>161</v>
      </c>
      <c r="T248" t="s">
        <v>1646</v>
      </c>
      <c r="U248" t="s">
        <v>1647</v>
      </c>
    </row>
    <row r="249" spans="2:21" x14ac:dyDescent="0.2">
      <c r="B249" t="s">
        <v>388</v>
      </c>
      <c r="C249" t="s">
        <v>1578</v>
      </c>
      <c r="D249" t="s">
        <v>388</v>
      </c>
      <c r="E249" t="s">
        <v>388</v>
      </c>
      <c r="F249" t="s">
        <v>388</v>
      </c>
      <c r="G249" t="s">
        <v>1646</v>
      </c>
      <c r="H249" t="s">
        <v>1647</v>
      </c>
      <c r="K249" t="s">
        <v>181</v>
      </c>
      <c r="M249" t="s">
        <v>167</v>
      </c>
      <c r="Q249" t="s">
        <v>613</v>
      </c>
      <c r="R249" t="s">
        <v>613</v>
      </c>
      <c r="S249" t="s">
        <v>1892</v>
      </c>
      <c r="T249" t="s">
        <v>1893</v>
      </c>
      <c r="U249" t="s">
        <v>1647</v>
      </c>
    </row>
    <row r="250" spans="2:21" x14ac:dyDescent="0.2">
      <c r="B250" t="s">
        <v>267</v>
      </c>
      <c r="C250" t="s">
        <v>1579</v>
      </c>
      <c r="D250" t="s">
        <v>267</v>
      </c>
      <c r="E250" t="s">
        <v>267</v>
      </c>
      <c r="F250" t="s">
        <v>267</v>
      </c>
      <c r="G250" t="s">
        <v>1646</v>
      </c>
      <c r="H250" t="s">
        <v>1647</v>
      </c>
      <c r="K250" t="s">
        <v>183</v>
      </c>
      <c r="M250" t="s">
        <v>173</v>
      </c>
      <c r="Q250" t="s">
        <v>167</v>
      </c>
      <c r="R250" t="s">
        <v>167</v>
      </c>
      <c r="S250" t="s">
        <v>1894</v>
      </c>
      <c r="T250" t="s">
        <v>1733</v>
      </c>
      <c r="U250" t="s">
        <v>1647</v>
      </c>
    </row>
    <row r="251" spans="2:21" x14ac:dyDescent="0.2">
      <c r="B251" t="s">
        <v>281</v>
      </c>
      <c r="C251" t="s">
        <v>1580</v>
      </c>
      <c r="D251" t="s">
        <v>281</v>
      </c>
      <c r="E251" t="s">
        <v>281</v>
      </c>
      <c r="F251" t="s">
        <v>1810</v>
      </c>
      <c r="G251" t="s">
        <v>1811</v>
      </c>
      <c r="H251" t="s">
        <v>1647</v>
      </c>
      <c r="K251" t="s">
        <v>472</v>
      </c>
      <c r="M251" t="s">
        <v>185</v>
      </c>
      <c r="Q251" t="s">
        <v>173</v>
      </c>
      <c r="R251" t="s">
        <v>173</v>
      </c>
      <c r="S251" t="s">
        <v>1801</v>
      </c>
      <c r="T251" t="s">
        <v>1802</v>
      </c>
      <c r="U251" t="s">
        <v>1647</v>
      </c>
    </row>
    <row r="252" spans="2:21" x14ac:dyDescent="0.2">
      <c r="B252" t="s">
        <v>406</v>
      </c>
      <c r="C252" t="s">
        <v>1581</v>
      </c>
      <c r="D252" t="s">
        <v>406</v>
      </c>
      <c r="E252" t="s">
        <v>406</v>
      </c>
      <c r="F252" t="s">
        <v>1835</v>
      </c>
      <c r="G252" t="s">
        <v>1836</v>
      </c>
      <c r="H252" t="s">
        <v>1647</v>
      </c>
      <c r="K252" t="s">
        <v>574</v>
      </c>
      <c r="M252" t="s">
        <v>474</v>
      </c>
      <c r="Q252" t="s">
        <v>185</v>
      </c>
      <c r="R252" t="s">
        <v>185</v>
      </c>
      <c r="S252" t="s">
        <v>1678</v>
      </c>
      <c r="T252" t="s">
        <v>1679</v>
      </c>
      <c r="U252" t="s">
        <v>1647</v>
      </c>
    </row>
    <row r="253" spans="2:21" x14ac:dyDescent="0.2">
      <c r="B253" t="s">
        <v>297</v>
      </c>
      <c r="C253" t="s">
        <v>1582</v>
      </c>
      <c r="D253" t="s">
        <v>297</v>
      </c>
      <c r="E253" t="s">
        <v>297</v>
      </c>
      <c r="F253" t="s">
        <v>1757</v>
      </c>
      <c r="G253" t="s">
        <v>1758</v>
      </c>
      <c r="H253" t="s">
        <v>1647</v>
      </c>
      <c r="K253" t="s">
        <v>478</v>
      </c>
      <c r="M253" t="s">
        <v>187</v>
      </c>
      <c r="Q253" t="s">
        <v>474</v>
      </c>
      <c r="R253" t="s">
        <v>474</v>
      </c>
      <c r="S253" t="s">
        <v>474</v>
      </c>
      <c r="T253" t="s">
        <v>1646</v>
      </c>
      <c r="U253" t="s">
        <v>1647</v>
      </c>
    </row>
    <row r="254" spans="2:21" x14ac:dyDescent="0.2">
      <c r="B254" t="s">
        <v>287</v>
      </c>
      <c r="C254" t="s">
        <v>1583</v>
      </c>
      <c r="D254" t="s">
        <v>287</v>
      </c>
      <c r="E254" t="s">
        <v>287</v>
      </c>
      <c r="F254" t="s">
        <v>1812</v>
      </c>
      <c r="G254" t="s">
        <v>1813</v>
      </c>
      <c r="H254" t="s">
        <v>1647</v>
      </c>
      <c r="K254" t="s">
        <v>576</v>
      </c>
      <c r="M254" t="s">
        <v>476</v>
      </c>
      <c r="Q254" t="s">
        <v>187</v>
      </c>
      <c r="R254" t="s">
        <v>187</v>
      </c>
      <c r="S254" t="s">
        <v>1895</v>
      </c>
      <c r="T254" t="s">
        <v>1896</v>
      </c>
      <c r="U254" t="s">
        <v>1647</v>
      </c>
    </row>
    <row r="255" spans="2:21" x14ac:dyDescent="0.2">
      <c r="B255" t="s">
        <v>545</v>
      </c>
      <c r="C255" t="s">
        <v>1584</v>
      </c>
      <c r="D255" t="s">
        <v>545</v>
      </c>
      <c r="E255" t="s">
        <v>545</v>
      </c>
      <c r="F255" t="s">
        <v>1868</v>
      </c>
      <c r="G255" t="s">
        <v>1869</v>
      </c>
      <c r="H255" t="s">
        <v>1647</v>
      </c>
      <c r="K255" t="s">
        <v>191</v>
      </c>
      <c r="M255" t="s">
        <v>482</v>
      </c>
      <c r="Q255" t="s">
        <v>476</v>
      </c>
      <c r="R255" t="s">
        <v>476</v>
      </c>
      <c r="S255" t="s">
        <v>1660</v>
      </c>
      <c r="T255" t="s">
        <v>1661</v>
      </c>
      <c r="U255" t="s">
        <v>1647</v>
      </c>
    </row>
    <row r="256" spans="2:21" x14ac:dyDescent="0.2">
      <c r="B256" t="s">
        <v>382</v>
      </c>
      <c r="C256" t="s">
        <v>1585</v>
      </c>
      <c r="D256" t="s">
        <v>382</v>
      </c>
      <c r="E256" t="s">
        <v>382</v>
      </c>
      <c r="F256" t="s">
        <v>1831</v>
      </c>
      <c r="G256" t="s">
        <v>1832</v>
      </c>
      <c r="H256" t="s">
        <v>1647</v>
      </c>
      <c r="K256" t="s">
        <v>486</v>
      </c>
      <c r="M256" t="s">
        <v>484</v>
      </c>
      <c r="Q256" t="s">
        <v>482</v>
      </c>
      <c r="R256" t="s">
        <v>482</v>
      </c>
      <c r="S256" t="s">
        <v>1897</v>
      </c>
      <c r="T256" t="s">
        <v>1898</v>
      </c>
      <c r="U256" t="s">
        <v>1647</v>
      </c>
    </row>
    <row r="257" spans="2:21" x14ac:dyDescent="0.2">
      <c r="B257" t="s">
        <v>589</v>
      </c>
      <c r="C257" t="s">
        <v>1586</v>
      </c>
      <c r="D257" t="s">
        <v>589</v>
      </c>
      <c r="E257" t="s">
        <v>589</v>
      </c>
      <c r="F257" t="s">
        <v>1872</v>
      </c>
      <c r="G257" t="s">
        <v>1873</v>
      </c>
      <c r="H257" t="s">
        <v>1647</v>
      </c>
      <c r="K257" t="s">
        <v>193</v>
      </c>
      <c r="M257" t="s">
        <v>488</v>
      </c>
      <c r="Q257" t="s">
        <v>484</v>
      </c>
      <c r="R257" t="s">
        <v>484</v>
      </c>
      <c r="S257" t="s">
        <v>1803</v>
      </c>
      <c r="T257" t="s">
        <v>1804</v>
      </c>
      <c r="U257" t="s">
        <v>1647</v>
      </c>
    </row>
    <row r="258" spans="2:21" x14ac:dyDescent="0.2">
      <c r="B258" t="s">
        <v>318</v>
      </c>
      <c r="C258" t="s">
        <v>1587</v>
      </c>
      <c r="D258" t="s">
        <v>318</v>
      </c>
      <c r="E258" t="s">
        <v>318</v>
      </c>
      <c r="F258" t="s">
        <v>318</v>
      </c>
      <c r="G258" t="s">
        <v>1646</v>
      </c>
      <c r="H258" t="s">
        <v>1647</v>
      </c>
      <c r="K258" t="s">
        <v>201</v>
      </c>
      <c r="M258" t="s">
        <v>195</v>
      </c>
      <c r="Q258" t="s">
        <v>488</v>
      </c>
      <c r="R258" t="s">
        <v>488</v>
      </c>
      <c r="S258" t="s">
        <v>488</v>
      </c>
      <c r="T258" t="s">
        <v>1646</v>
      </c>
      <c r="U258" t="s">
        <v>1647</v>
      </c>
    </row>
    <row r="259" spans="2:21" x14ac:dyDescent="0.2">
      <c r="B259" t="s">
        <v>605</v>
      </c>
      <c r="C259" t="s">
        <v>1588</v>
      </c>
      <c r="D259" t="s">
        <v>605</v>
      </c>
      <c r="E259" t="s">
        <v>605</v>
      </c>
      <c r="F259" t="s">
        <v>1880</v>
      </c>
      <c r="G259" t="s">
        <v>1881</v>
      </c>
      <c r="H259" t="s">
        <v>1647</v>
      </c>
      <c r="K259" t="s">
        <v>492</v>
      </c>
      <c r="M259" t="s">
        <v>199</v>
      </c>
      <c r="Q259" t="s">
        <v>195</v>
      </c>
      <c r="R259" t="s">
        <v>195</v>
      </c>
      <c r="S259" t="s">
        <v>1899</v>
      </c>
      <c r="T259" t="s">
        <v>1900</v>
      </c>
      <c r="U259" t="s">
        <v>1647</v>
      </c>
    </row>
    <row r="260" spans="2:21" x14ac:dyDescent="0.2">
      <c r="B260" t="s">
        <v>539</v>
      </c>
      <c r="C260" t="s">
        <v>1589</v>
      </c>
      <c r="D260" t="s">
        <v>539</v>
      </c>
      <c r="E260" t="s">
        <v>539</v>
      </c>
      <c r="F260" t="s">
        <v>539</v>
      </c>
      <c r="G260" t="s">
        <v>1809</v>
      </c>
      <c r="H260" t="s">
        <v>1647</v>
      </c>
      <c r="K260" t="s">
        <v>203</v>
      </c>
      <c r="M260" t="s">
        <v>207</v>
      </c>
      <c r="Q260" t="s">
        <v>199</v>
      </c>
      <c r="R260" t="s">
        <v>199</v>
      </c>
      <c r="S260" t="s">
        <v>1878</v>
      </c>
      <c r="T260" t="s">
        <v>1879</v>
      </c>
      <c r="U260" t="s">
        <v>1647</v>
      </c>
    </row>
    <row r="261" spans="2:21" x14ac:dyDescent="0.2">
      <c r="B261" t="s">
        <v>611</v>
      </c>
      <c r="C261" t="s">
        <v>1590</v>
      </c>
      <c r="D261" t="s">
        <v>611</v>
      </c>
      <c r="E261" t="s">
        <v>611</v>
      </c>
      <c r="F261" t="s">
        <v>1890</v>
      </c>
      <c r="G261" t="s">
        <v>1891</v>
      </c>
      <c r="H261" t="s">
        <v>1647</v>
      </c>
      <c r="K261" t="s">
        <v>205</v>
      </c>
      <c r="M261" t="s">
        <v>496</v>
      </c>
      <c r="Q261" t="s">
        <v>207</v>
      </c>
      <c r="R261" t="s">
        <v>207</v>
      </c>
      <c r="S261" t="s">
        <v>207</v>
      </c>
      <c r="T261" t="s">
        <v>1646</v>
      </c>
      <c r="U261" t="s">
        <v>1647</v>
      </c>
    </row>
    <row r="262" spans="2:21" x14ac:dyDescent="0.2">
      <c r="B262" t="s">
        <v>265</v>
      </c>
      <c r="C262" t="s">
        <v>1591</v>
      </c>
      <c r="D262" t="s">
        <v>265</v>
      </c>
      <c r="E262" t="s">
        <v>265</v>
      </c>
      <c r="F262" t="s">
        <v>1870</v>
      </c>
      <c r="G262" t="s">
        <v>1871</v>
      </c>
      <c r="H262" t="s">
        <v>1647</v>
      </c>
      <c r="K262" t="s">
        <v>578</v>
      </c>
      <c r="M262" t="s">
        <v>498</v>
      </c>
      <c r="Q262" t="s">
        <v>496</v>
      </c>
      <c r="R262" t="s">
        <v>496</v>
      </c>
      <c r="S262" t="s">
        <v>1901</v>
      </c>
      <c r="T262" t="s">
        <v>1902</v>
      </c>
      <c r="U262" t="s">
        <v>1647</v>
      </c>
    </row>
    <row r="263" spans="2:21" x14ac:dyDescent="0.2">
      <c r="B263" t="s">
        <v>269</v>
      </c>
      <c r="C263" t="s">
        <v>1592</v>
      </c>
      <c r="D263" t="s">
        <v>269</v>
      </c>
      <c r="E263" t="s">
        <v>269</v>
      </c>
      <c r="F263" t="s">
        <v>269</v>
      </c>
      <c r="G263" t="s">
        <v>1646</v>
      </c>
      <c r="H263" t="s">
        <v>1647</v>
      </c>
      <c r="K263" t="s">
        <v>211</v>
      </c>
      <c r="M263" t="s">
        <v>209</v>
      </c>
      <c r="Q263" t="s">
        <v>498</v>
      </c>
      <c r="R263" t="s">
        <v>498</v>
      </c>
      <c r="S263" t="s">
        <v>1903</v>
      </c>
      <c r="T263" t="s">
        <v>1646</v>
      </c>
      <c r="U263" t="s">
        <v>1647</v>
      </c>
    </row>
    <row r="264" spans="2:21" x14ac:dyDescent="0.2">
      <c r="B264" t="s">
        <v>277</v>
      </c>
      <c r="C264" t="s">
        <v>1593</v>
      </c>
      <c r="D264" t="s">
        <v>277</v>
      </c>
      <c r="E264" t="s">
        <v>277</v>
      </c>
      <c r="F264" t="s">
        <v>1917</v>
      </c>
      <c r="G264" t="s">
        <v>1918</v>
      </c>
      <c r="H264" t="s">
        <v>1647</v>
      </c>
      <c r="K264" t="s">
        <v>499</v>
      </c>
      <c r="M264" t="s">
        <v>227</v>
      </c>
      <c r="Q264" t="s">
        <v>209</v>
      </c>
      <c r="R264" t="s">
        <v>209</v>
      </c>
      <c r="S264" t="s">
        <v>1904</v>
      </c>
      <c r="T264" t="s">
        <v>1905</v>
      </c>
      <c r="U264" t="s">
        <v>1647</v>
      </c>
    </row>
    <row r="265" spans="2:21" x14ac:dyDescent="0.2">
      <c r="B265" t="s">
        <v>279</v>
      </c>
      <c r="C265" t="s">
        <v>1594</v>
      </c>
      <c r="D265" t="s">
        <v>279</v>
      </c>
      <c r="E265" t="s">
        <v>279</v>
      </c>
      <c r="F265" t="s">
        <v>1814</v>
      </c>
      <c r="G265" t="s">
        <v>1874</v>
      </c>
      <c r="H265" t="s">
        <v>1647</v>
      </c>
      <c r="K265" t="s">
        <v>213</v>
      </c>
      <c r="M265" t="s">
        <v>231</v>
      </c>
      <c r="Q265" t="s">
        <v>227</v>
      </c>
      <c r="R265" t="s">
        <v>227</v>
      </c>
      <c r="S265" t="s">
        <v>1673</v>
      </c>
      <c r="T265" t="s">
        <v>1674</v>
      </c>
      <c r="U265" t="s">
        <v>1647</v>
      </c>
    </row>
    <row r="266" spans="2:21" x14ac:dyDescent="0.2">
      <c r="B266" t="s">
        <v>291</v>
      </c>
      <c r="C266" t="s">
        <v>1595</v>
      </c>
      <c r="D266" t="s">
        <v>291</v>
      </c>
      <c r="E266" t="s">
        <v>291</v>
      </c>
      <c r="F266" t="s">
        <v>1820</v>
      </c>
      <c r="G266" t="s">
        <v>1821</v>
      </c>
      <c r="H266" t="s">
        <v>1647</v>
      </c>
      <c r="K266" t="s">
        <v>217</v>
      </c>
      <c r="M266" t="s">
        <v>233</v>
      </c>
      <c r="Q266" t="s">
        <v>231</v>
      </c>
      <c r="R266" t="s">
        <v>231</v>
      </c>
      <c r="S266" t="s">
        <v>231</v>
      </c>
      <c r="T266" t="s">
        <v>1646</v>
      </c>
      <c r="U266" t="s">
        <v>1647</v>
      </c>
    </row>
    <row r="267" spans="2:21" x14ac:dyDescent="0.2">
      <c r="B267" t="s">
        <v>306</v>
      </c>
      <c r="C267" t="s">
        <v>1596</v>
      </c>
      <c r="D267" t="s">
        <v>306</v>
      </c>
      <c r="E267" t="s">
        <v>306</v>
      </c>
      <c r="F267" t="s">
        <v>306</v>
      </c>
      <c r="G267" t="s">
        <v>1646</v>
      </c>
      <c r="H267" t="s">
        <v>1647</v>
      </c>
      <c r="K267" t="s">
        <v>505</v>
      </c>
      <c r="M267" t="s">
        <v>525</v>
      </c>
      <c r="Q267" t="s">
        <v>233</v>
      </c>
      <c r="R267" t="s">
        <v>233</v>
      </c>
      <c r="S267" t="s">
        <v>1906</v>
      </c>
      <c r="T267" t="s">
        <v>1907</v>
      </c>
      <c r="U267" t="s">
        <v>1647</v>
      </c>
    </row>
    <row r="268" spans="2:21" x14ac:dyDescent="0.2">
      <c r="B268" t="s">
        <v>314</v>
      </c>
      <c r="C268" t="s">
        <v>1597</v>
      </c>
      <c r="D268" t="s">
        <v>314</v>
      </c>
      <c r="E268" t="s">
        <v>314</v>
      </c>
      <c r="F268" t="s">
        <v>314</v>
      </c>
      <c r="G268" t="s">
        <v>1646</v>
      </c>
      <c r="H268" t="s">
        <v>1647</v>
      </c>
      <c r="K268" t="s">
        <v>507</v>
      </c>
      <c r="M268" t="s">
        <v>529</v>
      </c>
      <c r="Q268" t="s">
        <v>525</v>
      </c>
      <c r="R268" t="s">
        <v>525</v>
      </c>
      <c r="S268" t="s">
        <v>525</v>
      </c>
      <c r="T268" t="s">
        <v>1646</v>
      </c>
      <c r="U268" t="s">
        <v>1647</v>
      </c>
    </row>
    <row r="269" spans="2:21" x14ac:dyDescent="0.2">
      <c r="B269" t="s">
        <v>328</v>
      </c>
      <c r="C269" t="s">
        <v>1598</v>
      </c>
      <c r="D269" t="s">
        <v>328</v>
      </c>
      <c r="E269" t="s">
        <v>328</v>
      </c>
      <c r="F269" t="s">
        <v>328</v>
      </c>
      <c r="G269" t="s">
        <v>1646</v>
      </c>
      <c r="H269" t="s">
        <v>1647</v>
      </c>
      <c r="K269" t="s">
        <v>509</v>
      </c>
      <c r="M269" t="s">
        <v>239</v>
      </c>
      <c r="Q269" t="s">
        <v>529</v>
      </c>
      <c r="R269" t="s">
        <v>529</v>
      </c>
      <c r="S269" t="s">
        <v>1908</v>
      </c>
      <c r="T269" t="s">
        <v>1909</v>
      </c>
      <c r="U269" t="s">
        <v>1647</v>
      </c>
    </row>
    <row r="270" spans="2:21" x14ac:dyDescent="0.2">
      <c r="B270" t="s">
        <v>330</v>
      </c>
      <c r="C270" t="s">
        <v>1599</v>
      </c>
      <c r="D270" t="s">
        <v>330</v>
      </c>
      <c r="E270" t="s">
        <v>330</v>
      </c>
      <c r="F270" t="s">
        <v>1876</v>
      </c>
      <c r="G270" t="s">
        <v>1874</v>
      </c>
      <c r="H270" t="s">
        <v>1647</v>
      </c>
      <c r="K270" t="s">
        <v>511</v>
      </c>
      <c r="M270" t="s">
        <v>531</v>
      </c>
      <c r="Q270" t="s">
        <v>239</v>
      </c>
      <c r="R270" t="s">
        <v>239</v>
      </c>
      <c r="S270" t="s">
        <v>1837</v>
      </c>
      <c r="T270" t="s">
        <v>1838</v>
      </c>
      <c r="U270" t="s">
        <v>1647</v>
      </c>
    </row>
    <row r="271" spans="2:21" x14ac:dyDescent="0.2">
      <c r="B271" t="s">
        <v>336</v>
      </c>
      <c r="C271" t="s">
        <v>1600</v>
      </c>
      <c r="D271" t="s">
        <v>336</v>
      </c>
      <c r="E271" t="s">
        <v>336</v>
      </c>
      <c r="F271" t="s">
        <v>336</v>
      </c>
      <c r="G271" t="s">
        <v>1646</v>
      </c>
      <c r="H271" t="s">
        <v>1647</v>
      </c>
      <c r="K271" t="s">
        <v>517</v>
      </c>
      <c r="M271" t="s">
        <v>533</v>
      </c>
      <c r="Q271" t="s">
        <v>531</v>
      </c>
      <c r="R271" t="s">
        <v>531</v>
      </c>
      <c r="S271" t="s">
        <v>1910</v>
      </c>
      <c r="T271" t="s">
        <v>1911</v>
      </c>
      <c r="U271" t="s">
        <v>1647</v>
      </c>
    </row>
    <row r="272" spans="2:21" x14ac:dyDescent="0.2">
      <c r="B272" t="s">
        <v>342</v>
      </c>
      <c r="C272" t="s">
        <v>1601</v>
      </c>
      <c r="D272" t="s">
        <v>342</v>
      </c>
      <c r="E272" t="s">
        <v>342</v>
      </c>
      <c r="F272" t="s">
        <v>1877</v>
      </c>
      <c r="G272" t="s">
        <v>1844</v>
      </c>
      <c r="H272" t="s">
        <v>1647</v>
      </c>
      <c r="K272" t="s">
        <v>221</v>
      </c>
      <c r="M272" t="s">
        <v>253</v>
      </c>
      <c r="Q272" t="s">
        <v>533</v>
      </c>
      <c r="R272" t="s">
        <v>533</v>
      </c>
      <c r="S272" t="s">
        <v>533</v>
      </c>
      <c r="T272" t="s">
        <v>1912</v>
      </c>
      <c r="U272" t="s">
        <v>1647</v>
      </c>
    </row>
    <row r="273" spans="2:21" x14ac:dyDescent="0.2">
      <c r="B273" t="s">
        <v>368</v>
      </c>
      <c r="C273" t="s">
        <v>1602</v>
      </c>
      <c r="D273" t="s">
        <v>368</v>
      </c>
      <c r="E273" t="s">
        <v>368</v>
      </c>
      <c r="F273" t="s">
        <v>368</v>
      </c>
      <c r="G273" t="s">
        <v>1646</v>
      </c>
      <c r="H273" t="s">
        <v>1647</v>
      </c>
      <c r="K273" t="s">
        <v>519</v>
      </c>
      <c r="M273" t="s">
        <v>257</v>
      </c>
      <c r="Q273" t="s">
        <v>253</v>
      </c>
      <c r="R273" t="s">
        <v>253</v>
      </c>
      <c r="S273" t="s">
        <v>1808</v>
      </c>
      <c r="T273" t="s">
        <v>1796</v>
      </c>
      <c r="U273" t="s">
        <v>1647</v>
      </c>
    </row>
    <row r="274" spans="2:21" x14ac:dyDescent="0.2">
      <c r="B274" t="s">
        <v>372</v>
      </c>
      <c r="C274" t="s">
        <v>1603</v>
      </c>
      <c r="D274" t="s">
        <v>372</v>
      </c>
      <c r="E274" t="s">
        <v>372</v>
      </c>
      <c r="F274" t="s">
        <v>1878</v>
      </c>
      <c r="G274" t="s">
        <v>1879</v>
      </c>
      <c r="H274" t="s">
        <v>1647</v>
      </c>
      <c r="K274" t="s">
        <v>521</v>
      </c>
      <c r="M274" t="s">
        <v>261</v>
      </c>
      <c r="Q274" t="s">
        <v>257</v>
      </c>
      <c r="R274" t="s">
        <v>257</v>
      </c>
      <c r="S274" t="s">
        <v>257</v>
      </c>
      <c r="T274" t="s">
        <v>1646</v>
      </c>
      <c r="U274" t="s">
        <v>1647</v>
      </c>
    </row>
    <row r="275" spans="2:21" x14ac:dyDescent="0.2">
      <c r="B275" t="s">
        <v>384</v>
      </c>
      <c r="C275" t="s">
        <v>1604</v>
      </c>
      <c r="D275" t="s">
        <v>384</v>
      </c>
      <c r="E275" t="s">
        <v>384</v>
      </c>
      <c r="F275" t="s">
        <v>1833</v>
      </c>
      <c r="G275" t="s">
        <v>1834</v>
      </c>
      <c r="H275" t="s">
        <v>1647</v>
      </c>
      <c r="K275" t="s">
        <v>225</v>
      </c>
      <c r="M275" t="s">
        <v>587</v>
      </c>
      <c r="Q275" t="s">
        <v>261</v>
      </c>
      <c r="R275" t="s">
        <v>261</v>
      </c>
      <c r="S275" t="s">
        <v>261</v>
      </c>
      <c r="T275" t="s">
        <v>1646</v>
      </c>
      <c r="U275" t="s">
        <v>1647</v>
      </c>
    </row>
    <row r="276" spans="2:21" x14ac:dyDescent="0.2">
      <c r="B276" t="s">
        <v>390</v>
      </c>
      <c r="C276" t="s">
        <v>1605</v>
      </c>
      <c r="D276" t="s">
        <v>390</v>
      </c>
      <c r="E276" t="s">
        <v>390</v>
      </c>
      <c r="F276" t="s">
        <v>1882</v>
      </c>
      <c r="G276" t="s">
        <v>1883</v>
      </c>
      <c r="H276" t="s">
        <v>1647</v>
      </c>
      <c r="K276" t="s">
        <v>523</v>
      </c>
      <c r="M276" t="s">
        <v>552</v>
      </c>
      <c r="Q276" t="s">
        <v>587</v>
      </c>
      <c r="R276" t="s">
        <v>587</v>
      </c>
      <c r="S276" t="s">
        <v>1913</v>
      </c>
      <c r="T276" t="s">
        <v>1914</v>
      </c>
      <c r="U276" t="s">
        <v>1647</v>
      </c>
    </row>
    <row r="277" spans="2:21" x14ac:dyDescent="0.2">
      <c r="B277" t="s">
        <v>396</v>
      </c>
      <c r="C277" t="s">
        <v>1606</v>
      </c>
      <c r="D277" t="s">
        <v>396</v>
      </c>
      <c r="E277" t="s">
        <v>396</v>
      </c>
      <c r="F277" t="s">
        <v>1884</v>
      </c>
      <c r="G277" t="s">
        <v>1885</v>
      </c>
      <c r="H277" t="s">
        <v>1647</v>
      </c>
      <c r="K277" t="s">
        <v>229</v>
      </c>
      <c r="M277" t="s">
        <v>570</v>
      </c>
      <c r="Q277" t="s">
        <v>552</v>
      </c>
      <c r="R277" t="s">
        <v>552</v>
      </c>
      <c r="S277" t="s">
        <v>1915</v>
      </c>
      <c r="T277" t="s">
        <v>1916</v>
      </c>
      <c r="U277" t="s">
        <v>1647</v>
      </c>
    </row>
    <row r="278" spans="2:21" x14ac:dyDescent="0.2">
      <c r="B278" t="s">
        <v>400</v>
      </c>
      <c r="C278" t="s">
        <v>1607</v>
      </c>
      <c r="D278" t="s">
        <v>400</v>
      </c>
      <c r="E278" t="s">
        <v>400</v>
      </c>
      <c r="F278" t="s">
        <v>1882</v>
      </c>
      <c r="G278" t="s">
        <v>1883</v>
      </c>
      <c r="H278" t="s">
        <v>1647</v>
      </c>
      <c r="K278" t="s">
        <v>527</v>
      </c>
      <c r="M278" t="s">
        <v>572</v>
      </c>
      <c r="Q278" t="s">
        <v>570</v>
      </c>
      <c r="R278" t="s">
        <v>570</v>
      </c>
      <c r="S278" t="s">
        <v>1917</v>
      </c>
      <c r="T278" t="s">
        <v>1918</v>
      </c>
      <c r="U278" t="s">
        <v>1647</v>
      </c>
    </row>
    <row r="279" spans="2:21" x14ac:dyDescent="0.2">
      <c r="B279" t="s">
        <v>404</v>
      </c>
      <c r="C279" t="s">
        <v>1608</v>
      </c>
      <c r="D279" t="s">
        <v>404</v>
      </c>
      <c r="E279" t="s">
        <v>404</v>
      </c>
      <c r="F279" t="s">
        <v>404</v>
      </c>
      <c r="G279" t="s">
        <v>1646</v>
      </c>
      <c r="H279" t="s">
        <v>1647</v>
      </c>
      <c r="K279" t="s">
        <v>235</v>
      </c>
      <c r="M279" t="s">
        <v>585</v>
      </c>
      <c r="Q279" t="s">
        <v>572</v>
      </c>
      <c r="R279" t="s">
        <v>572</v>
      </c>
      <c r="S279" t="s">
        <v>1919</v>
      </c>
      <c r="T279" t="s">
        <v>1920</v>
      </c>
      <c r="U279" t="s">
        <v>1647</v>
      </c>
    </row>
    <row r="280" spans="2:21" x14ac:dyDescent="0.2">
      <c r="B280" t="s">
        <v>412</v>
      </c>
      <c r="C280" t="s">
        <v>1609</v>
      </c>
      <c r="D280" t="s">
        <v>412</v>
      </c>
      <c r="E280" t="s">
        <v>412</v>
      </c>
      <c r="F280" t="s">
        <v>1680</v>
      </c>
      <c r="G280" t="s">
        <v>1681</v>
      </c>
      <c r="H280" t="s">
        <v>1647</v>
      </c>
      <c r="K280" t="s">
        <v>237</v>
      </c>
      <c r="M280" t="s">
        <v>599</v>
      </c>
      <c r="Q280" t="s">
        <v>585</v>
      </c>
      <c r="R280" t="s">
        <v>585</v>
      </c>
      <c r="S280" t="s">
        <v>1921</v>
      </c>
      <c r="T280" t="s">
        <v>1922</v>
      </c>
      <c r="U280" t="s">
        <v>1647</v>
      </c>
    </row>
    <row r="281" spans="2:21" x14ac:dyDescent="0.2">
      <c r="B281" t="s">
        <v>418</v>
      </c>
      <c r="C281" t="s">
        <v>1610</v>
      </c>
      <c r="D281" t="s">
        <v>418</v>
      </c>
      <c r="E281" t="s">
        <v>418</v>
      </c>
      <c r="F281" t="s">
        <v>1876</v>
      </c>
      <c r="G281" t="s">
        <v>1874</v>
      </c>
      <c r="H281" t="s">
        <v>1647</v>
      </c>
      <c r="K281" t="s">
        <v>580</v>
      </c>
      <c r="M281" t="s">
        <v>554</v>
      </c>
      <c r="Q281" t="s">
        <v>599</v>
      </c>
      <c r="R281" t="s">
        <v>599</v>
      </c>
      <c r="S281" t="s">
        <v>1923</v>
      </c>
      <c r="T281" t="s">
        <v>1924</v>
      </c>
      <c r="U281" t="s">
        <v>1647</v>
      </c>
    </row>
    <row r="282" spans="2:21" x14ac:dyDescent="0.2">
      <c r="B282" t="s">
        <v>422</v>
      </c>
      <c r="C282" t="s">
        <v>1611</v>
      </c>
      <c r="D282" t="s">
        <v>422</v>
      </c>
      <c r="E282" t="s">
        <v>422</v>
      </c>
      <c r="F282" t="s">
        <v>422</v>
      </c>
      <c r="G282" t="s">
        <v>1646</v>
      </c>
      <c r="H282" t="s">
        <v>1647</v>
      </c>
      <c r="K282" t="s">
        <v>243</v>
      </c>
      <c r="M282" t="s">
        <v>277</v>
      </c>
      <c r="Q282" t="s">
        <v>554</v>
      </c>
      <c r="R282" t="s">
        <v>554</v>
      </c>
      <c r="S282" t="s">
        <v>1923</v>
      </c>
      <c r="T282" t="s">
        <v>1924</v>
      </c>
      <c r="U282" t="s">
        <v>1647</v>
      </c>
    </row>
    <row r="283" spans="2:21" x14ac:dyDescent="0.2">
      <c r="B283" t="s">
        <v>424</v>
      </c>
      <c r="C283" t="s">
        <v>1612</v>
      </c>
      <c r="D283" t="s">
        <v>424</v>
      </c>
      <c r="E283" t="s">
        <v>424</v>
      </c>
      <c r="F283" t="s">
        <v>1725</v>
      </c>
      <c r="G283" t="s">
        <v>1726</v>
      </c>
      <c r="H283" t="s">
        <v>1647</v>
      </c>
      <c r="K283" t="s">
        <v>535</v>
      </c>
      <c r="M283" t="s">
        <v>595</v>
      </c>
      <c r="Q283" t="s">
        <v>277</v>
      </c>
      <c r="R283" t="s">
        <v>277</v>
      </c>
      <c r="S283" t="s">
        <v>1917</v>
      </c>
      <c r="T283" t="s">
        <v>1918</v>
      </c>
      <c r="U283" t="s">
        <v>1647</v>
      </c>
    </row>
    <row r="284" spans="2:21" x14ac:dyDescent="0.2">
      <c r="B284" t="s">
        <v>432</v>
      </c>
      <c r="C284" t="s">
        <v>1613</v>
      </c>
      <c r="D284" t="s">
        <v>432</v>
      </c>
      <c r="E284" t="s">
        <v>432</v>
      </c>
      <c r="F284" t="s">
        <v>432</v>
      </c>
      <c r="G284" t="s">
        <v>1887</v>
      </c>
      <c r="H284" t="s">
        <v>1647</v>
      </c>
      <c r="K284" t="s">
        <v>245</v>
      </c>
      <c r="M284" t="s">
        <v>490</v>
      </c>
      <c r="Q284" t="s">
        <v>595</v>
      </c>
      <c r="R284" t="s">
        <v>595</v>
      </c>
      <c r="S284" t="s">
        <v>1925</v>
      </c>
      <c r="T284" t="s">
        <v>1926</v>
      </c>
      <c r="U284" t="s">
        <v>1647</v>
      </c>
    </row>
    <row r="285" spans="2:21" x14ac:dyDescent="0.2">
      <c r="B285" t="s">
        <v>474</v>
      </c>
      <c r="C285" t="s">
        <v>1614</v>
      </c>
      <c r="D285" t="s">
        <v>474</v>
      </c>
      <c r="E285" t="s">
        <v>474</v>
      </c>
      <c r="F285" t="s">
        <v>474</v>
      </c>
      <c r="G285" t="s">
        <v>1646</v>
      </c>
      <c r="H285" t="s">
        <v>1647</v>
      </c>
      <c r="K285" t="s">
        <v>247</v>
      </c>
      <c r="M285" t="s">
        <v>412</v>
      </c>
      <c r="Q285" t="s">
        <v>490</v>
      </c>
      <c r="R285" t="s">
        <v>490</v>
      </c>
      <c r="S285" t="s">
        <v>490</v>
      </c>
      <c r="T285" t="s">
        <v>1646</v>
      </c>
      <c r="U285" t="s">
        <v>1647</v>
      </c>
    </row>
    <row r="286" spans="2:21" x14ac:dyDescent="0.2">
      <c r="B286" t="s">
        <v>476</v>
      </c>
      <c r="C286" t="s">
        <v>1615</v>
      </c>
      <c r="D286" t="s">
        <v>476</v>
      </c>
      <c r="E286" t="s">
        <v>476</v>
      </c>
      <c r="F286" t="s">
        <v>1660</v>
      </c>
      <c r="G286" t="s">
        <v>1661</v>
      </c>
      <c r="H286" t="s">
        <v>1647</v>
      </c>
      <c r="K286" t="s">
        <v>537</v>
      </c>
      <c r="M286" t="s">
        <v>574</v>
      </c>
      <c r="Q286" t="s">
        <v>412</v>
      </c>
      <c r="R286" t="s">
        <v>412</v>
      </c>
      <c r="S286" t="s">
        <v>1680</v>
      </c>
      <c r="T286" t="s">
        <v>1681</v>
      </c>
      <c r="U286" t="s">
        <v>1647</v>
      </c>
    </row>
    <row r="287" spans="2:21" x14ac:dyDescent="0.2">
      <c r="B287" t="s">
        <v>482</v>
      </c>
      <c r="C287" t="s">
        <v>1616</v>
      </c>
      <c r="D287" t="s">
        <v>482</v>
      </c>
      <c r="E287" t="s">
        <v>482</v>
      </c>
      <c r="F287" t="s">
        <v>1897</v>
      </c>
      <c r="G287" t="s">
        <v>1898</v>
      </c>
      <c r="H287" t="s">
        <v>1647</v>
      </c>
      <c r="K287" t="s">
        <v>541</v>
      </c>
      <c r="M287" t="s">
        <v>601</v>
      </c>
      <c r="Q287" t="s">
        <v>574</v>
      </c>
      <c r="R287" t="s">
        <v>574</v>
      </c>
      <c r="S287" t="s">
        <v>1759</v>
      </c>
      <c r="T287" t="s">
        <v>1760</v>
      </c>
      <c r="U287" t="s">
        <v>1647</v>
      </c>
    </row>
    <row r="288" spans="2:21" x14ac:dyDescent="0.2">
      <c r="B288" t="s">
        <v>484</v>
      </c>
      <c r="C288" t="s">
        <v>1617</v>
      </c>
      <c r="D288" t="s">
        <v>484</v>
      </c>
      <c r="E288" t="s">
        <v>484</v>
      </c>
      <c r="F288" t="s">
        <v>1803</v>
      </c>
      <c r="G288" t="s">
        <v>1804</v>
      </c>
      <c r="H288" t="s">
        <v>1647</v>
      </c>
      <c r="K288" t="s">
        <v>249</v>
      </c>
      <c r="M288" t="s">
        <v>103</v>
      </c>
      <c r="Q288" t="s">
        <v>601</v>
      </c>
      <c r="R288" t="s">
        <v>601</v>
      </c>
      <c r="S288" t="s">
        <v>1927</v>
      </c>
      <c r="T288" t="s">
        <v>1928</v>
      </c>
      <c r="U288" t="s">
        <v>1647</v>
      </c>
    </row>
    <row r="289" spans="2:21" x14ac:dyDescent="0.2">
      <c r="B289" t="s">
        <v>488</v>
      </c>
      <c r="C289" t="s">
        <v>1618</v>
      </c>
      <c r="D289" t="s">
        <v>488</v>
      </c>
      <c r="E289" t="s">
        <v>488</v>
      </c>
      <c r="F289" t="s">
        <v>488</v>
      </c>
      <c r="G289" t="s">
        <v>1646</v>
      </c>
      <c r="H289" t="s">
        <v>1647</v>
      </c>
      <c r="K289" t="s">
        <v>582</v>
      </c>
      <c r="M289" t="s">
        <v>143</v>
      </c>
      <c r="Q289" t="s">
        <v>103</v>
      </c>
      <c r="R289" t="s">
        <v>103</v>
      </c>
      <c r="S289" t="s">
        <v>103</v>
      </c>
      <c r="T289" t="s">
        <v>1646</v>
      </c>
      <c r="U289" t="s">
        <v>1647</v>
      </c>
    </row>
    <row r="290" spans="2:21" x14ac:dyDescent="0.2">
      <c r="B290" t="s">
        <v>490</v>
      </c>
      <c r="C290" t="s">
        <v>1619</v>
      </c>
      <c r="D290" t="s">
        <v>490</v>
      </c>
      <c r="E290" t="s">
        <v>490</v>
      </c>
      <c r="F290" t="s">
        <v>490</v>
      </c>
      <c r="G290" t="s">
        <v>1646</v>
      </c>
      <c r="H290" t="s">
        <v>1647</v>
      </c>
      <c r="K290" t="s">
        <v>543</v>
      </c>
      <c r="M290" t="s">
        <v>141</v>
      </c>
      <c r="Q290" t="s">
        <v>143</v>
      </c>
      <c r="R290" t="s">
        <v>143</v>
      </c>
      <c r="S290" t="s">
        <v>1868</v>
      </c>
      <c r="T290" t="s">
        <v>1869</v>
      </c>
      <c r="U290" t="s">
        <v>1647</v>
      </c>
    </row>
    <row r="291" spans="2:21" x14ac:dyDescent="0.2">
      <c r="B291" t="s">
        <v>496</v>
      </c>
      <c r="C291" t="s">
        <v>1620</v>
      </c>
      <c r="D291" t="s">
        <v>496</v>
      </c>
      <c r="E291" t="s">
        <v>496</v>
      </c>
      <c r="F291" t="s">
        <v>1901</v>
      </c>
      <c r="G291" t="s">
        <v>1902</v>
      </c>
      <c r="H291" t="s">
        <v>1647</v>
      </c>
      <c r="K291" t="s">
        <v>95</v>
      </c>
      <c r="Q291" t="s">
        <v>141</v>
      </c>
      <c r="R291" t="s">
        <v>141</v>
      </c>
      <c r="S291" t="s">
        <v>141</v>
      </c>
      <c r="T291" t="s">
        <v>1646</v>
      </c>
      <c r="U291" t="s">
        <v>1647</v>
      </c>
    </row>
    <row r="292" spans="2:21" x14ac:dyDescent="0.2">
      <c r="B292" t="s">
        <v>498</v>
      </c>
      <c r="C292" t="s">
        <v>1621</v>
      </c>
      <c r="D292" t="s">
        <v>498</v>
      </c>
      <c r="E292" t="s">
        <v>498</v>
      </c>
      <c r="F292" t="s">
        <v>1903</v>
      </c>
      <c r="G292" t="s">
        <v>1646</v>
      </c>
      <c r="H292" t="s">
        <v>1647</v>
      </c>
      <c r="K292" t="s">
        <v>139</v>
      </c>
    </row>
    <row r="293" spans="2:21" x14ac:dyDescent="0.2">
      <c r="B293" t="s">
        <v>525</v>
      </c>
      <c r="C293" t="s">
        <v>1622</v>
      </c>
      <c r="D293" t="s">
        <v>525</v>
      </c>
      <c r="E293" t="s">
        <v>525</v>
      </c>
      <c r="F293" t="s">
        <v>525</v>
      </c>
      <c r="G293" t="s">
        <v>1646</v>
      </c>
      <c r="H293" t="s">
        <v>1647</v>
      </c>
      <c r="K293" t="s">
        <v>470</v>
      </c>
    </row>
    <row r="294" spans="2:21" x14ac:dyDescent="0.2">
      <c r="B294" t="s">
        <v>529</v>
      </c>
      <c r="C294" t="s">
        <v>1623</v>
      </c>
      <c r="D294" t="s">
        <v>529</v>
      </c>
      <c r="E294" t="s">
        <v>529</v>
      </c>
      <c r="F294" t="s">
        <v>1908</v>
      </c>
      <c r="G294" t="s">
        <v>1909</v>
      </c>
      <c r="H294" t="s">
        <v>1647</v>
      </c>
      <c r="K294" t="s">
        <v>293</v>
      </c>
    </row>
    <row r="295" spans="2:21" x14ac:dyDescent="0.2">
      <c r="B295" t="s">
        <v>531</v>
      </c>
      <c r="C295" t="s">
        <v>1624</v>
      </c>
      <c r="D295" t="s">
        <v>531</v>
      </c>
      <c r="E295" t="s">
        <v>531</v>
      </c>
      <c r="F295" t="s">
        <v>1910</v>
      </c>
      <c r="G295" t="s">
        <v>1911</v>
      </c>
      <c r="H295" t="s">
        <v>1647</v>
      </c>
      <c r="K295" t="s">
        <v>450</v>
      </c>
    </row>
    <row r="296" spans="2:21" x14ac:dyDescent="0.2">
      <c r="B296" t="s">
        <v>533</v>
      </c>
      <c r="C296" t="s">
        <v>1625</v>
      </c>
      <c r="D296" t="s">
        <v>533</v>
      </c>
      <c r="E296" t="s">
        <v>533</v>
      </c>
      <c r="F296" t="s">
        <v>533</v>
      </c>
      <c r="G296" t="s">
        <v>1912</v>
      </c>
      <c r="H296" t="s">
        <v>1647</v>
      </c>
      <c r="K296" t="s">
        <v>189</v>
      </c>
    </row>
    <row r="297" spans="2:21" x14ac:dyDescent="0.2">
      <c r="B297" t="s">
        <v>585</v>
      </c>
      <c r="C297" t="s">
        <v>1626</v>
      </c>
      <c r="D297" t="s">
        <v>585</v>
      </c>
      <c r="E297" t="s">
        <v>585</v>
      </c>
      <c r="F297" t="s">
        <v>1921</v>
      </c>
      <c r="G297" t="s">
        <v>1922</v>
      </c>
      <c r="H297" t="s">
        <v>1647</v>
      </c>
      <c r="K297" t="s">
        <v>121</v>
      </c>
    </row>
    <row r="298" spans="2:21" x14ac:dyDescent="0.2">
      <c r="B298" t="s">
        <v>587</v>
      </c>
      <c r="C298" t="s">
        <v>1627</v>
      </c>
      <c r="D298" t="s">
        <v>587</v>
      </c>
      <c r="E298" t="s">
        <v>587</v>
      </c>
      <c r="F298" t="s">
        <v>1913</v>
      </c>
      <c r="G298" t="s">
        <v>1914</v>
      </c>
      <c r="H298" t="s">
        <v>1647</v>
      </c>
      <c r="K298" t="s">
        <v>511</v>
      </c>
    </row>
    <row r="299" spans="2:21" x14ac:dyDescent="0.2">
      <c r="B299" t="s">
        <v>591</v>
      </c>
      <c r="C299" t="s">
        <v>1628</v>
      </c>
      <c r="D299" t="s">
        <v>591</v>
      </c>
      <c r="E299" t="s">
        <v>591</v>
      </c>
      <c r="F299" t="s">
        <v>1940</v>
      </c>
      <c r="G299" t="s">
        <v>1941</v>
      </c>
      <c r="H299" t="s">
        <v>1647</v>
      </c>
      <c r="K299" t="s">
        <v>326</v>
      </c>
    </row>
    <row r="300" spans="2:21" x14ac:dyDescent="0.2">
      <c r="B300" t="s">
        <v>593</v>
      </c>
      <c r="C300" t="s">
        <v>1629</v>
      </c>
      <c r="D300" t="s">
        <v>593</v>
      </c>
      <c r="E300" t="s">
        <v>593</v>
      </c>
      <c r="F300" t="s">
        <v>1944</v>
      </c>
      <c r="G300" t="s">
        <v>1945</v>
      </c>
      <c r="H300" t="s">
        <v>1647</v>
      </c>
      <c r="K300" t="s">
        <v>191</v>
      </c>
    </row>
    <row r="301" spans="2:21" x14ac:dyDescent="0.2">
      <c r="B301" t="s">
        <v>595</v>
      </c>
      <c r="C301" t="s">
        <v>1630</v>
      </c>
      <c r="D301" t="s">
        <v>595</v>
      </c>
      <c r="E301" t="s">
        <v>595</v>
      </c>
      <c r="F301" t="s">
        <v>1925</v>
      </c>
      <c r="G301" t="s">
        <v>1926</v>
      </c>
      <c r="H301" t="s">
        <v>1647</v>
      </c>
      <c r="K301" t="s">
        <v>515</v>
      </c>
    </row>
    <row r="302" spans="2:21" x14ac:dyDescent="0.2">
      <c r="B302" t="s">
        <v>597</v>
      </c>
      <c r="C302" t="s">
        <v>1631</v>
      </c>
      <c r="D302" t="s">
        <v>597</v>
      </c>
      <c r="E302" t="s">
        <v>597</v>
      </c>
      <c r="F302" t="s">
        <v>597</v>
      </c>
      <c r="G302" t="s">
        <v>1646</v>
      </c>
      <c r="H302" t="s">
        <v>1647</v>
      </c>
      <c r="K302" t="s">
        <v>444</v>
      </c>
    </row>
    <row r="303" spans="2:21" x14ac:dyDescent="0.2">
      <c r="B303" t="s">
        <v>599</v>
      </c>
      <c r="C303" t="s">
        <v>1632</v>
      </c>
      <c r="D303" t="s">
        <v>599</v>
      </c>
      <c r="E303" t="s">
        <v>599</v>
      </c>
      <c r="F303" t="s">
        <v>1923</v>
      </c>
      <c r="G303" t="s">
        <v>1924</v>
      </c>
      <c r="H303" t="s">
        <v>1647</v>
      </c>
      <c r="K303" t="s">
        <v>145</v>
      </c>
    </row>
    <row r="304" spans="2:21" x14ac:dyDescent="0.2">
      <c r="B304" t="s">
        <v>601</v>
      </c>
      <c r="C304" t="s">
        <v>1633</v>
      </c>
      <c r="D304" t="s">
        <v>601</v>
      </c>
      <c r="E304" t="s">
        <v>601</v>
      </c>
      <c r="F304" t="s">
        <v>1927</v>
      </c>
      <c r="G304" t="s">
        <v>1928</v>
      </c>
      <c r="H304" t="s">
        <v>1647</v>
      </c>
      <c r="K304" t="s">
        <v>151</v>
      </c>
    </row>
    <row r="305" spans="2:11" x14ac:dyDescent="0.2">
      <c r="B305" t="s">
        <v>603</v>
      </c>
      <c r="C305" t="s">
        <v>1634</v>
      </c>
      <c r="D305" t="s">
        <v>603</v>
      </c>
      <c r="E305" t="s">
        <v>603</v>
      </c>
      <c r="F305" t="s">
        <v>1946</v>
      </c>
      <c r="G305" t="s">
        <v>1947</v>
      </c>
      <c r="H305" t="s">
        <v>1647</v>
      </c>
      <c r="K305" t="s">
        <v>426</v>
      </c>
    </row>
    <row r="306" spans="2:11" x14ac:dyDescent="0.2">
      <c r="B306" t="s">
        <v>615</v>
      </c>
      <c r="C306" t="s">
        <v>1635</v>
      </c>
      <c r="D306" t="s">
        <v>615</v>
      </c>
      <c r="E306" t="s">
        <v>615</v>
      </c>
      <c r="F306" t="s">
        <v>615</v>
      </c>
      <c r="G306" t="s">
        <v>1646</v>
      </c>
      <c r="H306" t="s">
        <v>1647</v>
      </c>
      <c r="K306" t="s">
        <v>358</v>
      </c>
    </row>
    <row r="307" spans="2:11" x14ac:dyDescent="0.2">
      <c r="B307" t="s">
        <v>617</v>
      </c>
      <c r="C307" t="s">
        <v>1636</v>
      </c>
      <c r="D307" t="s">
        <v>617</v>
      </c>
      <c r="E307" t="s">
        <v>617</v>
      </c>
      <c r="F307" t="s">
        <v>1690</v>
      </c>
      <c r="G307" t="s">
        <v>1691</v>
      </c>
      <c r="H307" t="s">
        <v>1647</v>
      </c>
      <c r="K307" t="s">
        <v>211</v>
      </c>
    </row>
    <row r="308" spans="2:11" x14ac:dyDescent="0.2">
      <c r="B308" t="s">
        <v>619</v>
      </c>
      <c r="C308" t="s">
        <v>1637</v>
      </c>
      <c r="D308" t="s">
        <v>619</v>
      </c>
      <c r="E308" t="s">
        <v>619</v>
      </c>
      <c r="F308" t="s">
        <v>1946</v>
      </c>
      <c r="G308" t="s">
        <v>1947</v>
      </c>
      <c r="H308" t="s">
        <v>1647</v>
      </c>
      <c r="K308" t="s">
        <v>324</v>
      </c>
    </row>
    <row r="309" spans="2:11" x14ac:dyDescent="0.2">
      <c r="B309" t="s">
        <v>623</v>
      </c>
      <c r="C309" t="s">
        <v>1638</v>
      </c>
      <c r="D309" t="s">
        <v>623</v>
      </c>
      <c r="E309" t="s">
        <v>623</v>
      </c>
      <c r="F309" t="s">
        <v>623</v>
      </c>
      <c r="G309" t="s">
        <v>1646</v>
      </c>
      <c r="H309" t="s">
        <v>1647</v>
      </c>
      <c r="K309" t="s">
        <v>430</v>
      </c>
    </row>
    <row r="310" spans="2:11" x14ac:dyDescent="0.2">
      <c r="B310" t="s">
        <v>625</v>
      </c>
      <c r="C310" t="s">
        <v>1639</v>
      </c>
      <c r="D310" t="s">
        <v>625</v>
      </c>
      <c r="E310" t="s">
        <v>625</v>
      </c>
      <c r="F310" t="s">
        <v>1948</v>
      </c>
      <c r="G310" t="s">
        <v>1949</v>
      </c>
      <c r="H310" t="s">
        <v>1647</v>
      </c>
      <c r="K310" t="s">
        <v>163</v>
      </c>
    </row>
    <row r="311" spans="2:11" x14ac:dyDescent="0.2">
      <c r="K311" t="s">
        <v>408</v>
      </c>
    </row>
    <row r="312" spans="2:11" x14ac:dyDescent="0.2">
      <c r="K312" t="s">
        <v>27</v>
      </c>
    </row>
    <row r="313" spans="2:11" x14ac:dyDescent="0.2">
      <c r="K313" t="s">
        <v>466</v>
      </c>
    </row>
    <row r="314" spans="2:11" x14ac:dyDescent="0.2">
      <c r="K314" t="s">
        <v>494</v>
      </c>
    </row>
    <row r="315" spans="2:11" x14ac:dyDescent="0.2">
      <c r="K315" t="s">
        <v>438</v>
      </c>
    </row>
    <row r="316" spans="2:11" x14ac:dyDescent="0.2">
      <c r="K316" t="s">
        <v>25</v>
      </c>
    </row>
    <row r="317" spans="2:11" x14ac:dyDescent="0.2">
      <c r="K317" t="s">
        <v>428</v>
      </c>
    </row>
    <row r="318" spans="2:11" x14ac:dyDescent="0.2">
      <c r="K318" t="s">
        <v>183</v>
      </c>
    </row>
    <row r="319" spans="2:11" x14ac:dyDescent="0.2">
      <c r="K319" t="s">
        <v>503</v>
      </c>
    </row>
    <row r="320" spans="2:11" x14ac:dyDescent="0.2">
      <c r="K320" t="s">
        <v>205</v>
      </c>
    </row>
    <row r="321" spans="11:11" x14ac:dyDescent="0.2">
      <c r="K321" t="s">
        <v>354</v>
      </c>
    </row>
    <row r="322" spans="11:11" x14ac:dyDescent="0.2">
      <c r="K322" t="s">
        <v>57</v>
      </c>
    </row>
    <row r="323" spans="11:11" x14ac:dyDescent="0.2">
      <c r="K323" t="s">
        <v>613</v>
      </c>
    </row>
    <row r="324" spans="11:11" x14ac:dyDescent="0.2">
      <c r="K324" t="s">
        <v>460</v>
      </c>
    </row>
    <row r="325" spans="11:11" x14ac:dyDescent="0.2">
      <c r="K325" t="s">
        <v>420</v>
      </c>
    </row>
    <row r="326" spans="11:11" x14ac:dyDescent="0.2">
      <c r="K326" t="s">
        <v>480</v>
      </c>
    </row>
    <row r="327" spans="11:11" x14ac:dyDescent="0.2">
      <c r="K327" t="s">
        <v>609</v>
      </c>
    </row>
    <row r="328" spans="11:11" x14ac:dyDescent="0.2">
      <c r="K328" t="s">
        <v>13</v>
      </c>
    </row>
    <row r="329" spans="11:11" x14ac:dyDescent="0.2">
      <c r="K329" t="s">
        <v>79</v>
      </c>
    </row>
    <row r="330" spans="11:11" x14ac:dyDescent="0.2">
      <c r="K330" t="s">
        <v>468</v>
      </c>
    </row>
    <row r="331" spans="11:11" x14ac:dyDescent="0.2">
      <c r="K331" t="s">
        <v>181</v>
      </c>
    </row>
    <row r="332" spans="11:11" x14ac:dyDescent="0.2">
      <c r="K332" t="s">
        <v>378</v>
      </c>
    </row>
    <row r="333" spans="11:11" x14ac:dyDescent="0.2">
      <c r="K333" t="s">
        <v>115</v>
      </c>
    </row>
    <row r="334" spans="11:11" x14ac:dyDescent="0.2">
      <c r="K334" t="s">
        <v>366</v>
      </c>
    </row>
    <row r="335" spans="11:11" x14ac:dyDescent="0.2">
      <c r="K335" t="s">
        <v>492</v>
      </c>
    </row>
    <row r="336" spans="11:11" x14ac:dyDescent="0.2">
      <c r="K336" t="s">
        <v>259</v>
      </c>
    </row>
    <row r="337" spans="11:11" x14ac:dyDescent="0.2">
      <c r="K337" t="s">
        <v>576</v>
      </c>
    </row>
    <row r="338" spans="11:11" x14ac:dyDescent="0.2">
      <c r="K338" t="s">
        <v>541</v>
      </c>
    </row>
    <row r="339" spans="11:11" x14ac:dyDescent="0.2">
      <c r="K339" t="s">
        <v>285</v>
      </c>
    </row>
    <row r="340" spans="11:11" x14ac:dyDescent="0.2">
      <c r="K340" t="s">
        <v>105</v>
      </c>
    </row>
    <row r="341" spans="11:11" x14ac:dyDescent="0.2">
      <c r="K341" t="s">
        <v>350</v>
      </c>
    </row>
    <row r="342" spans="11:11" x14ac:dyDescent="0.2">
      <c r="K342" t="s">
        <v>344</v>
      </c>
    </row>
    <row r="343" spans="11:11" x14ac:dyDescent="0.2">
      <c r="K343" t="s">
        <v>179</v>
      </c>
    </row>
    <row r="344" spans="11:11" x14ac:dyDescent="0.2">
      <c r="K344" t="s">
        <v>448</v>
      </c>
    </row>
    <row r="345" spans="11:11" x14ac:dyDescent="0.2">
      <c r="K345" t="s">
        <v>398</v>
      </c>
    </row>
    <row r="346" spans="11:11" x14ac:dyDescent="0.2">
      <c r="K346" t="s">
        <v>245</v>
      </c>
    </row>
    <row r="347" spans="11:11" x14ac:dyDescent="0.2">
      <c r="K347" t="s">
        <v>416</v>
      </c>
    </row>
    <row r="348" spans="11:11" x14ac:dyDescent="0.2">
      <c r="K348" t="s">
        <v>83</v>
      </c>
    </row>
    <row r="349" spans="11:11" x14ac:dyDescent="0.2">
      <c r="K349" t="s">
        <v>299</v>
      </c>
    </row>
    <row r="350" spans="11:11" x14ac:dyDescent="0.2">
      <c r="K350" t="s">
        <v>394</v>
      </c>
    </row>
    <row r="351" spans="11:11" x14ac:dyDescent="0.2">
      <c r="K351" t="s">
        <v>29</v>
      </c>
    </row>
    <row r="352" spans="11:11" x14ac:dyDescent="0.2">
      <c r="K352" t="s">
        <v>101</v>
      </c>
    </row>
    <row r="353" spans="11:11" x14ac:dyDescent="0.2">
      <c r="K353" t="s">
        <v>436</v>
      </c>
    </row>
    <row r="354" spans="11:11" x14ac:dyDescent="0.2">
      <c r="K354" t="s">
        <v>251</v>
      </c>
    </row>
    <row r="355" spans="11:11" x14ac:dyDescent="0.2">
      <c r="K355" t="s">
        <v>225</v>
      </c>
    </row>
    <row r="356" spans="11:11" x14ac:dyDescent="0.2">
      <c r="K356" t="s">
        <v>137</v>
      </c>
    </row>
    <row r="357" spans="11:11" x14ac:dyDescent="0.2">
      <c r="K357" t="s">
        <v>578</v>
      </c>
    </row>
    <row r="358" spans="11:11" x14ac:dyDescent="0.2">
      <c r="K358" t="s">
        <v>338</v>
      </c>
    </row>
    <row r="359" spans="11:11" x14ac:dyDescent="0.2">
      <c r="K359" t="s">
        <v>316</v>
      </c>
    </row>
    <row r="360" spans="11:11" x14ac:dyDescent="0.2">
      <c r="K360" t="s">
        <v>275</v>
      </c>
    </row>
    <row r="361" spans="11:11" x14ac:dyDescent="0.2">
      <c r="K361" t="s">
        <v>289</v>
      </c>
    </row>
    <row r="362" spans="11:11" x14ac:dyDescent="0.2">
      <c r="K362" t="s">
        <v>322</v>
      </c>
    </row>
    <row r="363" spans="11:11" x14ac:dyDescent="0.2">
      <c r="K363" t="s">
        <v>607</v>
      </c>
    </row>
    <row r="364" spans="11:11" x14ac:dyDescent="0.2">
      <c r="K364" t="s">
        <v>562</v>
      </c>
    </row>
    <row r="365" spans="11:11" x14ac:dyDescent="0.2">
      <c r="K365" t="s">
        <v>410</v>
      </c>
    </row>
    <row r="366" spans="11:11" x14ac:dyDescent="0.2">
      <c r="K366" t="s">
        <v>169</v>
      </c>
    </row>
    <row r="367" spans="11:11" x14ac:dyDescent="0.2">
      <c r="K367" t="s">
        <v>370</v>
      </c>
    </row>
    <row r="368" spans="11:11" x14ac:dyDescent="0.2">
      <c r="K368" t="s">
        <v>9</v>
      </c>
    </row>
    <row r="369" spans="11:11" x14ac:dyDescent="0.2">
      <c r="K369" t="s">
        <v>310</v>
      </c>
    </row>
    <row r="370" spans="11:11" x14ac:dyDescent="0.2">
      <c r="K370" t="s">
        <v>472</v>
      </c>
    </row>
    <row r="371" spans="11:11" x14ac:dyDescent="0.2">
      <c r="K371" t="s">
        <v>458</v>
      </c>
    </row>
    <row r="372" spans="11:11" x14ac:dyDescent="0.2">
      <c r="K372" t="s">
        <v>43</v>
      </c>
    </row>
    <row r="373" spans="11:11" x14ac:dyDescent="0.2">
      <c r="K373" t="s">
        <v>560</v>
      </c>
    </row>
    <row r="374" spans="11:11" x14ac:dyDescent="0.2">
      <c r="K374" t="s">
        <v>97</v>
      </c>
    </row>
    <row r="375" spans="11:11" x14ac:dyDescent="0.2">
      <c r="K375" t="s">
        <v>59</v>
      </c>
    </row>
    <row r="376" spans="11:11" x14ac:dyDescent="0.2">
      <c r="K376" t="s">
        <v>308</v>
      </c>
    </row>
    <row r="377" spans="11:11" x14ac:dyDescent="0.2">
      <c r="K377" t="s">
        <v>11</v>
      </c>
    </row>
    <row r="378" spans="11:11" x14ac:dyDescent="0.2">
      <c r="K378" t="s">
        <v>197</v>
      </c>
    </row>
    <row r="379" spans="11:11" x14ac:dyDescent="0.2">
      <c r="K379" t="s">
        <v>501</v>
      </c>
    </row>
    <row r="380" spans="11:11" x14ac:dyDescent="0.2">
      <c r="K380" t="s">
        <v>171</v>
      </c>
    </row>
    <row r="381" spans="11:11" x14ac:dyDescent="0.2">
      <c r="K381" t="s">
        <v>63</v>
      </c>
    </row>
    <row r="382" spans="11:11" x14ac:dyDescent="0.2">
      <c r="K382" t="s">
        <v>513</v>
      </c>
    </row>
    <row r="383" spans="11:11" x14ac:dyDescent="0.2">
      <c r="K383" t="s">
        <v>217</v>
      </c>
    </row>
    <row r="384" spans="11:11" x14ac:dyDescent="0.2">
      <c r="K384" t="s">
        <v>388</v>
      </c>
    </row>
    <row r="385" spans="11:11" x14ac:dyDescent="0.2">
      <c r="K385" t="s">
        <v>149</v>
      </c>
    </row>
    <row r="386" spans="11:11" x14ac:dyDescent="0.2">
      <c r="K386" t="s">
        <v>283</v>
      </c>
    </row>
    <row r="387" spans="11:11" x14ac:dyDescent="0.2">
      <c r="K387" t="s">
        <v>39</v>
      </c>
    </row>
    <row r="388" spans="11:11" x14ac:dyDescent="0.2">
      <c r="K388" t="s">
        <v>364</v>
      </c>
    </row>
    <row r="389" spans="11:11" x14ac:dyDescent="0.2">
      <c r="K389" t="s">
        <v>440</v>
      </c>
    </row>
    <row r="390" spans="11:11" x14ac:dyDescent="0.2">
      <c r="K390" t="s">
        <v>267</v>
      </c>
    </row>
    <row r="391" spans="11:11" x14ac:dyDescent="0.2">
      <c r="K391" t="s">
        <v>281</v>
      </c>
    </row>
    <row r="392" spans="11:11" x14ac:dyDescent="0.2">
      <c r="K392" t="s">
        <v>406</v>
      </c>
    </row>
    <row r="393" spans="11:11" x14ac:dyDescent="0.2">
      <c r="K393" t="s">
        <v>505</v>
      </c>
    </row>
    <row r="394" spans="11:11" x14ac:dyDescent="0.2">
      <c r="K394" t="s">
        <v>517</v>
      </c>
    </row>
    <row r="395" spans="11:11" x14ac:dyDescent="0.2">
      <c r="K395" t="s">
        <v>273</v>
      </c>
    </row>
    <row r="396" spans="11:11" x14ac:dyDescent="0.2">
      <c r="K396" t="s">
        <v>249</v>
      </c>
    </row>
    <row r="397" spans="11:11" x14ac:dyDescent="0.2">
      <c r="K397" t="s">
        <v>334</v>
      </c>
    </row>
    <row r="398" spans="11:11" x14ac:dyDescent="0.2">
      <c r="K398" t="s">
        <v>464</v>
      </c>
    </row>
    <row r="399" spans="11:11" x14ac:dyDescent="0.2">
      <c r="K399" t="s">
        <v>320</v>
      </c>
    </row>
    <row r="400" spans="11:11" x14ac:dyDescent="0.2">
      <c r="K400" t="s">
        <v>297</v>
      </c>
    </row>
    <row r="401" spans="11:11" x14ac:dyDescent="0.2">
      <c r="K401" t="s">
        <v>287</v>
      </c>
    </row>
    <row r="402" spans="11:11" x14ac:dyDescent="0.2">
      <c r="K402" t="s">
        <v>45</v>
      </c>
    </row>
    <row r="403" spans="11:11" x14ac:dyDescent="0.2">
      <c r="K403" t="s">
        <v>77</v>
      </c>
    </row>
    <row r="404" spans="11:11" x14ac:dyDescent="0.2">
      <c r="K404" t="s">
        <v>462</v>
      </c>
    </row>
    <row r="405" spans="11:11" x14ac:dyDescent="0.2">
      <c r="K405" t="s">
        <v>545</v>
      </c>
    </row>
    <row r="406" spans="11:11" x14ac:dyDescent="0.2">
      <c r="K406" t="s">
        <v>356</v>
      </c>
    </row>
    <row r="407" spans="11:11" x14ac:dyDescent="0.2">
      <c r="K407" t="s">
        <v>241</v>
      </c>
    </row>
    <row r="408" spans="11:11" x14ac:dyDescent="0.2">
      <c r="K408" t="s">
        <v>219</v>
      </c>
    </row>
    <row r="409" spans="11:11" x14ac:dyDescent="0.2">
      <c r="K409" t="s">
        <v>543</v>
      </c>
    </row>
    <row r="410" spans="11:11" x14ac:dyDescent="0.2">
      <c r="K410" t="s">
        <v>7</v>
      </c>
    </row>
    <row r="411" spans="11:11" x14ac:dyDescent="0.2">
      <c r="K411" t="s">
        <v>165</v>
      </c>
    </row>
    <row r="412" spans="11:11" x14ac:dyDescent="0.2">
      <c r="K412" t="s">
        <v>301</v>
      </c>
    </row>
    <row r="413" spans="11:11" x14ac:dyDescent="0.2">
      <c r="K413" t="s">
        <v>223</v>
      </c>
    </row>
    <row r="414" spans="11:11" x14ac:dyDescent="0.2">
      <c r="K414" t="s">
        <v>402</v>
      </c>
    </row>
    <row r="415" spans="11:11" x14ac:dyDescent="0.2">
      <c r="K415" t="s">
        <v>85</v>
      </c>
    </row>
    <row r="416" spans="11:11" x14ac:dyDescent="0.2">
      <c r="K416" t="s">
        <v>382</v>
      </c>
    </row>
    <row r="417" spans="11:11" x14ac:dyDescent="0.2">
      <c r="K417" t="s">
        <v>509</v>
      </c>
    </row>
    <row r="418" spans="11:11" x14ac:dyDescent="0.2">
      <c r="K418" t="s">
        <v>255</v>
      </c>
    </row>
    <row r="419" spans="11:11" x14ac:dyDescent="0.2">
      <c r="K419" t="s">
        <v>589</v>
      </c>
    </row>
    <row r="420" spans="11:11" x14ac:dyDescent="0.2">
      <c r="K420" t="s">
        <v>91</v>
      </c>
    </row>
    <row r="421" spans="11:11" x14ac:dyDescent="0.2">
      <c r="K421" t="s">
        <v>318</v>
      </c>
    </row>
    <row r="422" spans="11:11" x14ac:dyDescent="0.2">
      <c r="K422" t="s">
        <v>605</v>
      </c>
    </row>
    <row r="423" spans="11:11" x14ac:dyDescent="0.2">
      <c r="K423" t="s">
        <v>539</v>
      </c>
    </row>
    <row r="424" spans="11:11" x14ac:dyDescent="0.2">
      <c r="K424" t="s">
        <v>303</v>
      </c>
    </row>
    <row r="425" spans="11:11" x14ac:dyDescent="0.2">
      <c r="K425" t="s">
        <v>303</v>
      </c>
    </row>
    <row r="426" spans="11:11" x14ac:dyDescent="0.2">
      <c r="K426" t="s">
        <v>47</v>
      </c>
    </row>
    <row r="427" spans="11:11" x14ac:dyDescent="0.2">
      <c r="K427" t="s">
        <v>41</v>
      </c>
    </row>
    <row r="428" spans="11:11" x14ac:dyDescent="0.2">
      <c r="K428" t="s">
        <v>348</v>
      </c>
    </row>
    <row r="429" spans="11:11" x14ac:dyDescent="0.2">
      <c r="K429" t="s">
        <v>4</v>
      </c>
    </row>
    <row r="430" spans="11:11" x14ac:dyDescent="0.2">
      <c r="K430" t="s">
        <v>71</v>
      </c>
    </row>
    <row r="431" spans="11:11" x14ac:dyDescent="0.2">
      <c r="K431" t="s">
        <v>611</v>
      </c>
    </row>
    <row r="432" spans="11:11" x14ac:dyDescent="0.2">
      <c r="K432" t="s">
        <v>478</v>
      </c>
    </row>
    <row r="433" spans="11:11" x14ac:dyDescent="0.2">
      <c r="K433" t="s">
        <v>89</v>
      </c>
    </row>
    <row r="434" spans="11:11" x14ac:dyDescent="0.2">
      <c r="K434" t="s">
        <v>87</v>
      </c>
    </row>
    <row r="435" spans="11:11" x14ac:dyDescent="0.2">
      <c r="K435" t="s">
        <v>129</v>
      </c>
    </row>
    <row r="436" spans="11:11" x14ac:dyDescent="0.2">
      <c r="K436" t="s">
        <v>558</v>
      </c>
    </row>
    <row r="437" spans="11:11" x14ac:dyDescent="0.2">
      <c r="K437" t="s">
        <v>265</v>
      </c>
    </row>
    <row r="438" spans="11:11" x14ac:dyDescent="0.2">
      <c r="K438" t="s">
        <v>267</v>
      </c>
    </row>
    <row r="439" spans="11:11" x14ac:dyDescent="0.2">
      <c r="K439" t="s">
        <v>269</v>
      </c>
    </row>
    <row r="440" spans="11:11" x14ac:dyDescent="0.2">
      <c r="K440" t="s">
        <v>271</v>
      </c>
    </row>
    <row r="441" spans="11:11" x14ac:dyDescent="0.2">
      <c r="K441" t="s">
        <v>273</v>
      </c>
    </row>
    <row r="442" spans="11:11" x14ac:dyDescent="0.2">
      <c r="K442" t="s">
        <v>275</v>
      </c>
    </row>
    <row r="443" spans="11:11" x14ac:dyDescent="0.2">
      <c r="K443" t="s">
        <v>277</v>
      </c>
    </row>
    <row r="444" spans="11:11" x14ac:dyDescent="0.2">
      <c r="K444" t="s">
        <v>279</v>
      </c>
    </row>
    <row r="445" spans="11:11" x14ac:dyDescent="0.2">
      <c r="K445" t="s">
        <v>281</v>
      </c>
    </row>
    <row r="446" spans="11:11" x14ac:dyDescent="0.2">
      <c r="K446" t="s">
        <v>283</v>
      </c>
    </row>
    <row r="447" spans="11:11" x14ac:dyDescent="0.2">
      <c r="K447" t="s">
        <v>285</v>
      </c>
    </row>
    <row r="448" spans="11:11" x14ac:dyDescent="0.2">
      <c r="K448" t="s">
        <v>287</v>
      </c>
    </row>
    <row r="449" spans="11:11" x14ac:dyDescent="0.2">
      <c r="K449" t="s">
        <v>289</v>
      </c>
    </row>
    <row r="450" spans="11:11" x14ac:dyDescent="0.2">
      <c r="K450" t="s">
        <v>291</v>
      </c>
    </row>
    <row r="451" spans="11:11" x14ac:dyDescent="0.2">
      <c r="K451" t="s">
        <v>293</v>
      </c>
    </row>
    <row r="452" spans="11:11" x14ac:dyDescent="0.2">
      <c r="K452" t="s">
        <v>295</v>
      </c>
    </row>
    <row r="453" spans="11:11" x14ac:dyDescent="0.2">
      <c r="K453" t="s">
        <v>297</v>
      </c>
    </row>
    <row r="454" spans="11:11" x14ac:dyDescent="0.2">
      <c r="K454" t="s">
        <v>299</v>
      </c>
    </row>
    <row r="455" spans="11:11" x14ac:dyDescent="0.2">
      <c r="K455" t="s">
        <v>301</v>
      </c>
    </row>
    <row r="456" spans="11:11" x14ac:dyDescent="0.2">
      <c r="K456" t="s">
        <v>303</v>
      </c>
    </row>
    <row r="457" spans="11:11" x14ac:dyDescent="0.2">
      <c r="K457" t="s">
        <v>303</v>
      </c>
    </row>
    <row r="458" spans="11:11" x14ac:dyDescent="0.2">
      <c r="K458" t="s">
        <v>306</v>
      </c>
    </row>
    <row r="459" spans="11:11" x14ac:dyDescent="0.2">
      <c r="K459" t="s">
        <v>308</v>
      </c>
    </row>
    <row r="460" spans="11:11" x14ac:dyDescent="0.2">
      <c r="K460" t="s">
        <v>310</v>
      </c>
    </row>
    <row r="461" spans="11:11" x14ac:dyDescent="0.2">
      <c r="K461" t="s">
        <v>312</v>
      </c>
    </row>
    <row r="462" spans="11:11" x14ac:dyDescent="0.2">
      <c r="K462" t="s">
        <v>314</v>
      </c>
    </row>
    <row r="463" spans="11:11" x14ac:dyDescent="0.2">
      <c r="K463" t="s">
        <v>316</v>
      </c>
    </row>
    <row r="464" spans="11:11" x14ac:dyDescent="0.2">
      <c r="K464" t="s">
        <v>318</v>
      </c>
    </row>
    <row r="465" spans="11:11" x14ac:dyDescent="0.2">
      <c r="K465" t="s">
        <v>320</v>
      </c>
    </row>
    <row r="466" spans="11:11" x14ac:dyDescent="0.2">
      <c r="K466" t="s">
        <v>322</v>
      </c>
    </row>
    <row r="467" spans="11:11" x14ac:dyDescent="0.2">
      <c r="K467" t="s">
        <v>324</v>
      </c>
    </row>
    <row r="468" spans="11:11" x14ac:dyDescent="0.2">
      <c r="K468" t="s">
        <v>326</v>
      </c>
    </row>
    <row r="469" spans="11:11" x14ac:dyDescent="0.2">
      <c r="K469" t="s">
        <v>328</v>
      </c>
    </row>
    <row r="470" spans="11:11" x14ac:dyDescent="0.2">
      <c r="K470" t="s">
        <v>330</v>
      </c>
    </row>
    <row r="471" spans="11:11" x14ac:dyDescent="0.2">
      <c r="K471" t="s">
        <v>332</v>
      </c>
    </row>
    <row r="472" spans="11:11" x14ac:dyDescent="0.2">
      <c r="K472" t="s">
        <v>334</v>
      </c>
    </row>
    <row r="473" spans="11:11" x14ac:dyDescent="0.2">
      <c r="K473" t="s">
        <v>336</v>
      </c>
    </row>
    <row r="474" spans="11:11" x14ac:dyDescent="0.2">
      <c r="K474" t="s">
        <v>338</v>
      </c>
    </row>
    <row r="475" spans="11:11" x14ac:dyDescent="0.2">
      <c r="K475" t="s">
        <v>340</v>
      </c>
    </row>
    <row r="476" spans="11:11" x14ac:dyDescent="0.2">
      <c r="K476" t="s">
        <v>342</v>
      </c>
    </row>
    <row r="477" spans="11:11" x14ac:dyDescent="0.2">
      <c r="K477" t="s">
        <v>344</v>
      </c>
    </row>
    <row r="478" spans="11:11" x14ac:dyDescent="0.2">
      <c r="K478" t="s">
        <v>346</v>
      </c>
    </row>
    <row r="479" spans="11:11" x14ac:dyDescent="0.2">
      <c r="K479" t="s">
        <v>348</v>
      </c>
    </row>
    <row r="480" spans="11:11" x14ac:dyDescent="0.2">
      <c r="K480" t="s">
        <v>350</v>
      </c>
    </row>
    <row r="481" spans="11:11" x14ac:dyDescent="0.2">
      <c r="K481" t="s">
        <v>352</v>
      </c>
    </row>
    <row r="482" spans="11:11" x14ac:dyDescent="0.2">
      <c r="K482" t="s">
        <v>354</v>
      </c>
    </row>
    <row r="483" spans="11:11" x14ac:dyDescent="0.2">
      <c r="K483" t="s">
        <v>356</v>
      </c>
    </row>
    <row r="484" spans="11:11" x14ac:dyDescent="0.2">
      <c r="K484" t="s">
        <v>358</v>
      </c>
    </row>
    <row r="485" spans="11:11" x14ac:dyDescent="0.2">
      <c r="K485" t="s">
        <v>360</v>
      </c>
    </row>
    <row r="486" spans="11:11" x14ac:dyDescent="0.2">
      <c r="K486" t="s">
        <v>362</v>
      </c>
    </row>
    <row r="487" spans="11:11" x14ac:dyDescent="0.2">
      <c r="K487" t="s">
        <v>364</v>
      </c>
    </row>
    <row r="488" spans="11:11" x14ac:dyDescent="0.2">
      <c r="K488" t="s">
        <v>366</v>
      </c>
    </row>
    <row r="489" spans="11:11" x14ac:dyDescent="0.2">
      <c r="K489" t="s">
        <v>368</v>
      </c>
    </row>
    <row r="490" spans="11:11" x14ac:dyDescent="0.2">
      <c r="K490" t="s">
        <v>370</v>
      </c>
    </row>
    <row r="491" spans="11:11" x14ac:dyDescent="0.2">
      <c r="K491" t="s">
        <v>372</v>
      </c>
    </row>
    <row r="492" spans="11:11" x14ac:dyDescent="0.2">
      <c r="K492" t="s">
        <v>374</v>
      </c>
    </row>
    <row r="493" spans="11:11" x14ac:dyDescent="0.2">
      <c r="K493" t="s">
        <v>376</v>
      </c>
    </row>
    <row r="494" spans="11:11" x14ac:dyDescent="0.2">
      <c r="K494" t="s">
        <v>378</v>
      </c>
    </row>
    <row r="495" spans="11:11" x14ac:dyDescent="0.2">
      <c r="K495" t="s">
        <v>380</v>
      </c>
    </row>
    <row r="496" spans="11:11" x14ac:dyDescent="0.2">
      <c r="K496" t="s">
        <v>382</v>
      </c>
    </row>
    <row r="497" spans="11:11" x14ac:dyDescent="0.2">
      <c r="K497" t="s">
        <v>384</v>
      </c>
    </row>
    <row r="498" spans="11:11" x14ac:dyDescent="0.2">
      <c r="K498" t="s">
        <v>386</v>
      </c>
    </row>
    <row r="499" spans="11:11" x14ac:dyDescent="0.2">
      <c r="K499" t="s">
        <v>388</v>
      </c>
    </row>
    <row r="500" spans="11:11" x14ac:dyDescent="0.2">
      <c r="K500" t="s">
        <v>390</v>
      </c>
    </row>
    <row r="501" spans="11:11" x14ac:dyDescent="0.2">
      <c r="K501" t="s">
        <v>392</v>
      </c>
    </row>
    <row r="502" spans="11:11" x14ac:dyDescent="0.2">
      <c r="K502" t="s">
        <v>394</v>
      </c>
    </row>
    <row r="503" spans="11:11" x14ac:dyDescent="0.2">
      <c r="K503" t="s">
        <v>396</v>
      </c>
    </row>
    <row r="504" spans="11:11" x14ac:dyDescent="0.2">
      <c r="K504" t="s">
        <v>398</v>
      </c>
    </row>
    <row r="505" spans="11:11" x14ac:dyDescent="0.2">
      <c r="K505" t="s">
        <v>400</v>
      </c>
    </row>
    <row r="506" spans="11:11" x14ac:dyDescent="0.2">
      <c r="K506" t="s">
        <v>402</v>
      </c>
    </row>
    <row r="507" spans="11:11" x14ac:dyDescent="0.2">
      <c r="K507" t="s">
        <v>404</v>
      </c>
    </row>
    <row r="508" spans="11:11" x14ac:dyDescent="0.2">
      <c r="K508" t="s">
        <v>406</v>
      </c>
    </row>
    <row r="509" spans="11:11" x14ac:dyDescent="0.2">
      <c r="K509" t="s">
        <v>408</v>
      </c>
    </row>
    <row r="510" spans="11:11" x14ac:dyDescent="0.2">
      <c r="K510" t="s">
        <v>410</v>
      </c>
    </row>
    <row r="511" spans="11:11" x14ac:dyDescent="0.2">
      <c r="K511" t="s">
        <v>412</v>
      </c>
    </row>
    <row r="512" spans="11:11" x14ac:dyDescent="0.2">
      <c r="K512" t="s">
        <v>414</v>
      </c>
    </row>
    <row r="513" spans="11:11" x14ac:dyDescent="0.2">
      <c r="K513" t="s">
        <v>416</v>
      </c>
    </row>
    <row r="514" spans="11:11" x14ac:dyDescent="0.2">
      <c r="K514" t="s">
        <v>418</v>
      </c>
    </row>
    <row r="515" spans="11:11" x14ac:dyDescent="0.2">
      <c r="K515" t="s">
        <v>420</v>
      </c>
    </row>
    <row r="516" spans="11:11" x14ac:dyDescent="0.2">
      <c r="K516" t="s">
        <v>422</v>
      </c>
    </row>
    <row r="517" spans="11:11" x14ac:dyDescent="0.2">
      <c r="K517" t="s">
        <v>424</v>
      </c>
    </row>
    <row r="518" spans="11:11" x14ac:dyDescent="0.2">
      <c r="K518" t="s">
        <v>426</v>
      </c>
    </row>
    <row r="519" spans="11:11" x14ac:dyDescent="0.2">
      <c r="K519" t="s">
        <v>428</v>
      </c>
    </row>
    <row r="520" spans="11:11" x14ac:dyDescent="0.2">
      <c r="K520" t="s">
        <v>430</v>
      </c>
    </row>
    <row r="521" spans="11:11" x14ac:dyDescent="0.2">
      <c r="K521" t="s">
        <v>432</v>
      </c>
    </row>
    <row r="522" spans="11:11" x14ac:dyDescent="0.2">
      <c r="K522" t="s">
        <v>434</v>
      </c>
    </row>
    <row r="523" spans="11:11" x14ac:dyDescent="0.2">
      <c r="K523" t="s">
        <v>436</v>
      </c>
    </row>
    <row r="524" spans="11:11" x14ac:dyDescent="0.2">
      <c r="K524" t="s">
        <v>438</v>
      </c>
    </row>
    <row r="525" spans="11:11" x14ac:dyDescent="0.2">
      <c r="K525" t="s">
        <v>440</v>
      </c>
    </row>
    <row r="526" spans="11:11" x14ac:dyDescent="0.2">
      <c r="K526" t="s">
        <v>442</v>
      </c>
    </row>
    <row r="527" spans="11:11" x14ac:dyDescent="0.2">
      <c r="K527" t="s">
        <v>444</v>
      </c>
    </row>
    <row r="528" spans="11:11" x14ac:dyDescent="0.2">
      <c r="K528" t="s">
        <v>446</v>
      </c>
    </row>
    <row r="529" spans="11:11" x14ac:dyDescent="0.2">
      <c r="K529" t="s">
        <v>448</v>
      </c>
    </row>
    <row r="530" spans="11:11" x14ac:dyDescent="0.2">
      <c r="K530" t="s">
        <v>450</v>
      </c>
    </row>
    <row r="531" spans="11:11" x14ac:dyDescent="0.2">
      <c r="K531" t="s">
        <v>452</v>
      </c>
    </row>
    <row r="532" spans="11:11" x14ac:dyDescent="0.2">
      <c r="K532" t="s">
        <v>454</v>
      </c>
    </row>
    <row r="533" spans="11:11" x14ac:dyDescent="0.2">
      <c r="K533" t="s">
        <v>456</v>
      </c>
    </row>
    <row r="534" spans="11:11" x14ac:dyDescent="0.2">
      <c r="K534" t="s">
        <v>458</v>
      </c>
    </row>
    <row r="535" spans="11:11" x14ac:dyDescent="0.2">
      <c r="K535" t="s">
        <v>460</v>
      </c>
    </row>
    <row r="536" spans="11:11" x14ac:dyDescent="0.2">
      <c r="K536" t="s">
        <v>462</v>
      </c>
    </row>
    <row r="537" spans="11:11" x14ac:dyDescent="0.2">
      <c r="K537" t="s">
        <v>464</v>
      </c>
    </row>
    <row r="538" spans="11:11" x14ac:dyDescent="0.2">
      <c r="K538" t="s">
        <v>466</v>
      </c>
    </row>
    <row r="539" spans="11:11" x14ac:dyDescent="0.2">
      <c r="K539" t="s">
        <v>468</v>
      </c>
    </row>
    <row r="540" spans="11:11" x14ac:dyDescent="0.2">
      <c r="K540" t="s">
        <v>470</v>
      </c>
    </row>
    <row r="541" spans="11:11" x14ac:dyDescent="0.2">
      <c r="K541" t="s">
        <v>472</v>
      </c>
    </row>
    <row r="542" spans="11:11" x14ac:dyDescent="0.2">
      <c r="K542" t="s">
        <v>474</v>
      </c>
    </row>
    <row r="543" spans="11:11" x14ac:dyDescent="0.2">
      <c r="K543" t="s">
        <v>476</v>
      </c>
    </row>
    <row r="544" spans="11:11" x14ac:dyDescent="0.2">
      <c r="K544" t="s">
        <v>478</v>
      </c>
    </row>
    <row r="545" spans="11:11" x14ac:dyDescent="0.2">
      <c r="K545" t="s">
        <v>480</v>
      </c>
    </row>
    <row r="546" spans="11:11" x14ac:dyDescent="0.2">
      <c r="K546" t="s">
        <v>482</v>
      </c>
    </row>
    <row r="547" spans="11:11" x14ac:dyDescent="0.2">
      <c r="K547" t="s">
        <v>484</v>
      </c>
    </row>
    <row r="548" spans="11:11" x14ac:dyDescent="0.2">
      <c r="K548" t="s">
        <v>486</v>
      </c>
    </row>
    <row r="549" spans="11:11" x14ac:dyDescent="0.2">
      <c r="K549" t="s">
        <v>488</v>
      </c>
    </row>
    <row r="550" spans="11:11" x14ac:dyDescent="0.2">
      <c r="K550" t="s">
        <v>490</v>
      </c>
    </row>
    <row r="551" spans="11:11" x14ac:dyDescent="0.2">
      <c r="K551" t="s">
        <v>492</v>
      </c>
    </row>
    <row r="552" spans="11:11" x14ac:dyDescent="0.2">
      <c r="K552" t="s">
        <v>494</v>
      </c>
    </row>
    <row r="553" spans="11:11" x14ac:dyDescent="0.2">
      <c r="K553" t="s">
        <v>496</v>
      </c>
    </row>
    <row r="554" spans="11:11" x14ac:dyDescent="0.2">
      <c r="K554" t="s">
        <v>498</v>
      </c>
    </row>
    <row r="555" spans="11:11" x14ac:dyDescent="0.2">
      <c r="K555" t="s">
        <v>499</v>
      </c>
    </row>
    <row r="556" spans="11:11" x14ac:dyDescent="0.2">
      <c r="K556" t="s">
        <v>501</v>
      </c>
    </row>
    <row r="557" spans="11:11" x14ac:dyDescent="0.2">
      <c r="K557" t="s">
        <v>503</v>
      </c>
    </row>
    <row r="558" spans="11:11" x14ac:dyDescent="0.2">
      <c r="K558" t="s">
        <v>505</v>
      </c>
    </row>
    <row r="559" spans="11:11" x14ac:dyDescent="0.2">
      <c r="K559" t="s">
        <v>507</v>
      </c>
    </row>
    <row r="560" spans="11:11" x14ac:dyDescent="0.2">
      <c r="K560" t="s">
        <v>509</v>
      </c>
    </row>
    <row r="561" spans="11:11" x14ac:dyDescent="0.2">
      <c r="K561" t="s">
        <v>511</v>
      </c>
    </row>
    <row r="562" spans="11:11" x14ac:dyDescent="0.2">
      <c r="K562" t="s">
        <v>513</v>
      </c>
    </row>
    <row r="563" spans="11:11" x14ac:dyDescent="0.2">
      <c r="K563" t="s">
        <v>515</v>
      </c>
    </row>
    <row r="564" spans="11:11" x14ac:dyDescent="0.2">
      <c r="K564" t="s">
        <v>517</v>
      </c>
    </row>
    <row r="565" spans="11:11" x14ac:dyDescent="0.2">
      <c r="K565" t="s">
        <v>519</v>
      </c>
    </row>
    <row r="566" spans="11:11" x14ac:dyDescent="0.2">
      <c r="K566" t="s">
        <v>521</v>
      </c>
    </row>
    <row r="567" spans="11:11" x14ac:dyDescent="0.2">
      <c r="K567" t="s">
        <v>523</v>
      </c>
    </row>
    <row r="568" spans="11:11" x14ac:dyDescent="0.2">
      <c r="K568" t="s">
        <v>525</v>
      </c>
    </row>
    <row r="569" spans="11:11" x14ac:dyDescent="0.2">
      <c r="K569" t="s">
        <v>527</v>
      </c>
    </row>
    <row r="570" spans="11:11" x14ac:dyDescent="0.2">
      <c r="K570" t="s">
        <v>529</v>
      </c>
    </row>
    <row r="571" spans="11:11" x14ac:dyDescent="0.2">
      <c r="K571" t="s">
        <v>531</v>
      </c>
    </row>
    <row r="572" spans="11:11" x14ac:dyDescent="0.2">
      <c r="K572" t="s">
        <v>533</v>
      </c>
    </row>
    <row r="573" spans="11:11" x14ac:dyDescent="0.2">
      <c r="K573" t="s">
        <v>535</v>
      </c>
    </row>
    <row r="574" spans="11:11" x14ac:dyDescent="0.2">
      <c r="K574" t="s">
        <v>537</v>
      </c>
    </row>
    <row r="575" spans="11:11" x14ac:dyDescent="0.2">
      <c r="K575" t="s">
        <v>539</v>
      </c>
    </row>
    <row r="576" spans="11:11" x14ac:dyDescent="0.2">
      <c r="K576" t="s">
        <v>541</v>
      </c>
    </row>
    <row r="577" spans="11:11" x14ac:dyDescent="0.2">
      <c r="K577" t="s">
        <v>543</v>
      </c>
    </row>
    <row r="578" spans="11:11" x14ac:dyDescent="0.2">
      <c r="K578" t="s">
        <v>545</v>
      </c>
    </row>
    <row r="579" spans="11:11" x14ac:dyDescent="0.2">
      <c r="K579" t="s">
        <v>585</v>
      </c>
    </row>
    <row r="580" spans="11:11" x14ac:dyDescent="0.2">
      <c r="K580" t="s">
        <v>4</v>
      </c>
    </row>
    <row r="581" spans="11:11" x14ac:dyDescent="0.2">
      <c r="K581" t="s">
        <v>265</v>
      </c>
    </row>
    <row r="582" spans="11:11" x14ac:dyDescent="0.2">
      <c r="K582" t="s">
        <v>267</v>
      </c>
    </row>
    <row r="583" spans="11:11" x14ac:dyDescent="0.2">
      <c r="K583" t="s">
        <v>269</v>
      </c>
    </row>
    <row r="584" spans="11:11" x14ac:dyDescent="0.2">
      <c r="K584" t="s">
        <v>587</v>
      </c>
    </row>
    <row r="585" spans="11:11" x14ac:dyDescent="0.2">
      <c r="K585" t="s">
        <v>589</v>
      </c>
    </row>
    <row r="586" spans="11:11" x14ac:dyDescent="0.2">
      <c r="K586" t="s">
        <v>9</v>
      </c>
    </row>
    <row r="587" spans="11:11" x14ac:dyDescent="0.2">
      <c r="K587" t="s">
        <v>275</v>
      </c>
    </row>
    <row r="588" spans="11:11" x14ac:dyDescent="0.2">
      <c r="K588" t="s">
        <v>279</v>
      </c>
    </row>
    <row r="589" spans="11:11" x14ac:dyDescent="0.2">
      <c r="K589" t="s">
        <v>281</v>
      </c>
    </row>
    <row r="590" spans="11:11" x14ac:dyDescent="0.2">
      <c r="K590" t="s">
        <v>17</v>
      </c>
    </row>
    <row r="591" spans="11:11" x14ac:dyDescent="0.2">
      <c r="K591" t="s">
        <v>287</v>
      </c>
    </row>
    <row r="592" spans="11:11" x14ac:dyDescent="0.2">
      <c r="K592" t="s">
        <v>291</v>
      </c>
    </row>
    <row r="593" spans="11:11" x14ac:dyDescent="0.2">
      <c r="K593" t="s">
        <v>591</v>
      </c>
    </row>
    <row r="594" spans="11:11" x14ac:dyDescent="0.2">
      <c r="K594" t="s">
        <v>297</v>
      </c>
    </row>
    <row r="595" spans="11:11" x14ac:dyDescent="0.2">
      <c r="K595" t="s">
        <v>593</v>
      </c>
    </row>
    <row r="596" spans="11:11" x14ac:dyDescent="0.2">
      <c r="K596" t="s">
        <v>29</v>
      </c>
    </row>
    <row r="597" spans="11:11" x14ac:dyDescent="0.2">
      <c r="K597" t="s">
        <v>299</v>
      </c>
    </row>
    <row r="598" spans="11:11" x14ac:dyDescent="0.2">
      <c r="K598" t="s">
        <v>595</v>
      </c>
    </row>
    <row r="599" spans="11:11" x14ac:dyDescent="0.2">
      <c r="K599" t="s">
        <v>597</v>
      </c>
    </row>
    <row r="600" spans="11:11" x14ac:dyDescent="0.2">
      <c r="K600" t="s">
        <v>306</v>
      </c>
    </row>
    <row r="601" spans="11:11" x14ac:dyDescent="0.2">
      <c r="K601" t="s">
        <v>308</v>
      </c>
    </row>
    <row r="602" spans="11:11" x14ac:dyDescent="0.2">
      <c r="K602" t="s">
        <v>314</v>
      </c>
    </row>
    <row r="603" spans="11:11" x14ac:dyDescent="0.2">
      <c r="K603" t="s">
        <v>316</v>
      </c>
    </row>
    <row r="604" spans="11:11" x14ac:dyDescent="0.2">
      <c r="K604" t="s">
        <v>39</v>
      </c>
    </row>
    <row r="605" spans="11:11" x14ac:dyDescent="0.2">
      <c r="K605" t="s">
        <v>318</v>
      </c>
    </row>
    <row r="606" spans="11:11" x14ac:dyDescent="0.2">
      <c r="K606" t="s">
        <v>43</v>
      </c>
    </row>
    <row r="607" spans="11:11" x14ac:dyDescent="0.2">
      <c r="K607" t="s">
        <v>328</v>
      </c>
    </row>
    <row r="608" spans="11:11" x14ac:dyDescent="0.2">
      <c r="K608" t="s">
        <v>330</v>
      </c>
    </row>
    <row r="609" spans="11:11" x14ac:dyDescent="0.2">
      <c r="K609" t="s">
        <v>336</v>
      </c>
    </row>
    <row r="610" spans="11:11" x14ac:dyDescent="0.2">
      <c r="K610" t="s">
        <v>599</v>
      </c>
    </row>
    <row r="611" spans="11:11" x14ac:dyDescent="0.2">
      <c r="K611" t="s">
        <v>342</v>
      </c>
    </row>
    <row r="612" spans="11:11" x14ac:dyDescent="0.2">
      <c r="K612" t="s">
        <v>601</v>
      </c>
    </row>
    <row r="613" spans="11:11" x14ac:dyDescent="0.2">
      <c r="K613" t="s">
        <v>354</v>
      </c>
    </row>
    <row r="614" spans="11:11" x14ac:dyDescent="0.2">
      <c r="K614" t="s">
        <v>603</v>
      </c>
    </row>
    <row r="615" spans="11:11" x14ac:dyDescent="0.2">
      <c r="K615" t="s">
        <v>366</v>
      </c>
    </row>
    <row r="616" spans="11:11" x14ac:dyDescent="0.2">
      <c r="K616" t="s">
        <v>368</v>
      </c>
    </row>
    <row r="617" spans="11:11" x14ac:dyDescent="0.2">
      <c r="K617" t="s">
        <v>372</v>
      </c>
    </row>
    <row r="618" spans="11:11" x14ac:dyDescent="0.2">
      <c r="K618" t="s">
        <v>73</v>
      </c>
    </row>
    <row r="619" spans="11:11" x14ac:dyDescent="0.2">
      <c r="K619" t="s">
        <v>75</v>
      </c>
    </row>
    <row r="620" spans="11:11" x14ac:dyDescent="0.2">
      <c r="K620" t="s">
        <v>382</v>
      </c>
    </row>
    <row r="621" spans="11:11" x14ac:dyDescent="0.2">
      <c r="K621" t="s">
        <v>79</v>
      </c>
    </row>
    <row r="622" spans="11:11" x14ac:dyDescent="0.2">
      <c r="K622" t="s">
        <v>605</v>
      </c>
    </row>
    <row r="623" spans="11:11" x14ac:dyDescent="0.2">
      <c r="K623" t="s">
        <v>384</v>
      </c>
    </row>
    <row r="624" spans="11:11" x14ac:dyDescent="0.2">
      <c r="K624" t="s">
        <v>83</v>
      </c>
    </row>
    <row r="625" spans="11:11" x14ac:dyDescent="0.2">
      <c r="K625" t="s">
        <v>85</v>
      </c>
    </row>
    <row r="626" spans="11:11" x14ac:dyDescent="0.2">
      <c r="K626" t="s">
        <v>388</v>
      </c>
    </row>
    <row r="627" spans="11:11" x14ac:dyDescent="0.2">
      <c r="K627" t="s">
        <v>87</v>
      </c>
    </row>
    <row r="628" spans="11:11" x14ac:dyDescent="0.2">
      <c r="K628" t="s">
        <v>390</v>
      </c>
    </row>
    <row r="629" spans="11:11" x14ac:dyDescent="0.2">
      <c r="K629" t="s">
        <v>89</v>
      </c>
    </row>
    <row r="630" spans="11:11" x14ac:dyDescent="0.2">
      <c r="K630" t="s">
        <v>91</v>
      </c>
    </row>
    <row r="631" spans="11:11" x14ac:dyDescent="0.2">
      <c r="K631" t="s">
        <v>396</v>
      </c>
    </row>
    <row r="632" spans="11:11" x14ac:dyDescent="0.2">
      <c r="K632" t="s">
        <v>93</v>
      </c>
    </row>
    <row r="633" spans="11:11" x14ac:dyDescent="0.2">
      <c r="K633" t="s">
        <v>398</v>
      </c>
    </row>
    <row r="634" spans="11:11" x14ac:dyDescent="0.2">
      <c r="K634" t="s">
        <v>400</v>
      </c>
    </row>
    <row r="635" spans="11:11" x14ac:dyDescent="0.2">
      <c r="K635" t="s">
        <v>404</v>
      </c>
    </row>
    <row r="636" spans="11:11" x14ac:dyDescent="0.2">
      <c r="K636" t="s">
        <v>406</v>
      </c>
    </row>
    <row r="637" spans="11:11" x14ac:dyDescent="0.2">
      <c r="K637" t="s">
        <v>607</v>
      </c>
    </row>
    <row r="638" spans="11:11" x14ac:dyDescent="0.2">
      <c r="K638" t="s">
        <v>109</v>
      </c>
    </row>
    <row r="639" spans="11:11" x14ac:dyDescent="0.2">
      <c r="K639" t="s">
        <v>408</v>
      </c>
    </row>
    <row r="640" spans="11:11" x14ac:dyDescent="0.2">
      <c r="K640" t="s">
        <v>410</v>
      </c>
    </row>
    <row r="641" spans="11:11" x14ac:dyDescent="0.2">
      <c r="K641" t="s">
        <v>113</v>
      </c>
    </row>
    <row r="642" spans="11:11" x14ac:dyDescent="0.2">
      <c r="K642" t="s">
        <v>115</v>
      </c>
    </row>
    <row r="643" spans="11:11" x14ac:dyDescent="0.2">
      <c r="K643" t="s">
        <v>416</v>
      </c>
    </row>
    <row r="644" spans="11:11" x14ac:dyDescent="0.2">
      <c r="K644" t="s">
        <v>418</v>
      </c>
    </row>
    <row r="645" spans="11:11" x14ac:dyDescent="0.2">
      <c r="K645" t="s">
        <v>121</v>
      </c>
    </row>
    <row r="646" spans="11:11" x14ac:dyDescent="0.2">
      <c r="K646" t="s">
        <v>422</v>
      </c>
    </row>
    <row r="647" spans="11:11" x14ac:dyDescent="0.2">
      <c r="K647" t="s">
        <v>424</v>
      </c>
    </row>
    <row r="648" spans="11:11" x14ac:dyDescent="0.2">
      <c r="K648" t="s">
        <v>125</v>
      </c>
    </row>
    <row r="649" spans="11:11" x14ac:dyDescent="0.2">
      <c r="K649" t="s">
        <v>127</v>
      </c>
    </row>
    <row r="650" spans="11:11" x14ac:dyDescent="0.2">
      <c r="K650" t="s">
        <v>432</v>
      </c>
    </row>
    <row r="651" spans="11:11" x14ac:dyDescent="0.2">
      <c r="K651" t="s">
        <v>436</v>
      </c>
    </row>
    <row r="652" spans="11:11" x14ac:dyDescent="0.2">
      <c r="K652" t="s">
        <v>438</v>
      </c>
    </row>
    <row r="653" spans="11:11" x14ac:dyDescent="0.2">
      <c r="K653" t="s">
        <v>135</v>
      </c>
    </row>
    <row r="654" spans="11:11" x14ac:dyDescent="0.2">
      <c r="K654" t="s">
        <v>444</v>
      </c>
    </row>
    <row r="655" spans="11:11" x14ac:dyDescent="0.2">
      <c r="K655" t="s">
        <v>609</v>
      </c>
    </row>
    <row r="656" spans="11:11" x14ac:dyDescent="0.2">
      <c r="K656" t="s">
        <v>139</v>
      </c>
    </row>
    <row r="657" spans="11:11" x14ac:dyDescent="0.2">
      <c r="K657" t="s">
        <v>145</v>
      </c>
    </row>
    <row r="658" spans="11:11" x14ac:dyDescent="0.2">
      <c r="K658" t="s">
        <v>147</v>
      </c>
    </row>
    <row r="659" spans="11:11" x14ac:dyDescent="0.2">
      <c r="K659" t="s">
        <v>149</v>
      </c>
    </row>
    <row r="660" spans="11:11" x14ac:dyDescent="0.2">
      <c r="K660" t="s">
        <v>450</v>
      </c>
    </row>
    <row r="661" spans="11:11" x14ac:dyDescent="0.2">
      <c r="K661" t="s">
        <v>611</v>
      </c>
    </row>
    <row r="662" spans="11:11" x14ac:dyDescent="0.2">
      <c r="K662" t="s">
        <v>159</v>
      </c>
    </row>
    <row r="663" spans="11:11" x14ac:dyDescent="0.2">
      <c r="K663" t="s">
        <v>458</v>
      </c>
    </row>
    <row r="664" spans="11:11" x14ac:dyDescent="0.2">
      <c r="K664" t="s">
        <v>161</v>
      </c>
    </row>
    <row r="665" spans="11:11" x14ac:dyDescent="0.2">
      <c r="K665" t="s">
        <v>613</v>
      </c>
    </row>
    <row r="666" spans="11:11" x14ac:dyDescent="0.2">
      <c r="K666" t="s">
        <v>163</v>
      </c>
    </row>
    <row r="667" spans="11:11" x14ac:dyDescent="0.2">
      <c r="K667" t="s">
        <v>165</v>
      </c>
    </row>
    <row r="668" spans="11:11" x14ac:dyDescent="0.2">
      <c r="K668" t="s">
        <v>167</v>
      </c>
    </row>
    <row r="669" spans="11:11" x14ac:dyDescent="0.2">
      <c r="K669" t="s">
        <v>171</v>
      </c>
    </row>
    <row r="670" spans="11:11" x14ac:dyDescent="0.2">
      <c r="K670" t="s">
        <v>173</v>
      </c>
    </row>
    <row r="671" spans="11:11" x14ac:dyDescent="0.2">
      <c r="K671" t="s">
        <v>466</v>
      </c>
    </row>
    <row r="672" spans="11:11" x14ac:dyDescent="0.2">
      <c r="K672" t="s">
        <v>468</v>
      </c>
    </row>
    <row r="673" spans="11:11" x14ac:dyDescent="0.2">
      <c r="K673" t="s">
        <v>470</v>
      </c>
    </row>
    <row r="674" spans="11:11" x14ac:dyDescent="0.2">
      <c r="K674" t="s">
        <v>185</v>
      </c>
    </row>
    <row r="675" spans="11:11" x14ac:dyDescent="0.2">
      <c r="K675" t="s">
        <v>615</v>
      </c>
    </row>
    <row r="676" spans="11:11" x14ac:dyDescent="0.2">
      <c r="K676" t="s">
        <v>474</v>
      </c>
    </row>
    <row r="677" spans="11:11" x14ac:dyDescent="0.2">
      <c r="K677" t="s">
        <v>187</v>
      </c>
    </row>
    <row r="678" spans="11:11" x14ac:dyDescent="0.2">
      <c r="K678" t="s">
        <v>476</v>
      </c>
    </row>
    <row r="679" spans="11:11" x14ac:dyDescent="0.2">
      <c r="K679" t="s">
        <v>480</v>
      </c>
    </row>
    <row r="680" spans="11:11" x14ac:dyDescent="0.2">
      <c r="K680" t="s">
        <v>482</v>
      </c>
    </row>
    <row r="681" spans="11:11" x14ac:dyDescent="0.2">
      <c r="K681" t="s">
        <v>189</v>
      </c>
    </row>
    <row r="682" spans="11:11" x14ac:dyDescent="0.2">
      <c r="K682" t="s">
        <v>484</v>
      </c>
    </row>
    <row r="683" spans="11:11" x14ac:dyDescent="0.2">
      <c r="K683" t="s">
        <v>488</v>
      </c>
    </row>
    <row r="684" spans="11:11" x14ac:dyDescent="0.2">
      <c r="K684" t="s">
        <v>195</v>
      </c>
    </row>
    <row r="685" spans="11:11" x14ac:dyDescent="0.2">
      <c r="K685" t="s">
        <v>197</v>
      </c>
    </row>
    <row r="686" spans="11:11" x14ac:dyDescent="0.2">
      <c r="K686" t="s">
        <v>617</v>
      </c>
    </row>
    <row r="687" spans="11:11" x14ac:dyDescent="0.2">
      <c r="K687" t="s">
        <v>199</v>
      </c>
    </row>
    <row r="688" spans="11:11" x14ac:dyDescent="0.2">
      <c r="K688" t="s">
        <v>494</v>
      </c>
    </row>
    <row r="689" spans="11:11" x14ac:dyDescent="0.2">
      <c r="K689" t="s">
        <v>207</v>
      </c>
    </row>
    <row r="690" spans="11:11" x14ac:dyDescent="0.2">
      <c r="K690" t="s">
        <v>496</v>
      </c>
    </row>
    <row r="691" spans="11:11" x14ac:dyDescent="0.2">
      <c r="K691" t="s">
        <v>498</v>
      </c>
    </row>
    <row r="692" spans="11:11" x14ac:dyDescent="0.2">
      <c r="K692" t="s">
        <v>209</v>
      </c>
    </row>
    <row r="693" spans="11:11" x14ac:dyDescent="0.2">
      <c r="K693" t="s">
        <v>501</v>
      </c>
    </row>
    <row r="694" spans="11:11" x14ac:dyDescent="0.2">
      <c r="K694" t="s">
        <v>503</v>
      </c>
    </row>
    <row r="695" spans="11:11" x14ac:dyDescent="0.2">
      <c r="K695" t="s">
        <v>513</v>
      </c>
    </row>
    <row r="696" spans="11:11" x14ac:dyDescent="0.2">
      <c r="K696" t="s">
        <v>219</v>
      </c>
    </row>
    <row r="697" spans="11:11" x14ac:dyDescent="0.2">
      <c r="K697" t="s">
        <v>223</v>
      </c>
    </row>
    <row r="698" spans="11:11" x14ac:dyDescent="0.2">
      <c r="K698" t="s">
        <v>227</v>
      </c>
    </row>
    <row r="699" spans="11:11" x14ac:dyDescent="0.2">
      <c r="K699" t="s">
        <v>231</v>
      </c>
    </row>
    <row r="700" spans="11:11" x14ac:dyDescent="0.2">
      <c r="K700" t="s">
        <v>233</v>
      </c>
    </row>
    <row r="701" spans="11:11" x14ac:dyDescent="0.2">
      <c r="K701" t="s">
        <v>525</v>
      </c>
    </row>
    <row r="702" spans="11:11" x14ac:dyDescent="0.2">
      <c r="K702" t="s">
        <v>529</v>
      </c>
    </row>
    <row r="703" spans="11:11" x14ac:dyDescent="0.2">
      <c r="K703" t="s">
        <v>239</v>
      </c>
    </row>
    <row r="704" spans="11:11" x14ac:dyDescent="0.2">
      <c r="K704" t="s">
        <v>241</v>
      </c>
    </row>
    <row r="705" spans="11:11" x14ac:dyDescent="0.2">
      <c r="K705" t="s">
        <v>531</v>
      </c>
    </row>
    <row r="706" spans="11:11" x14ac:dyDescent="0.2">
      <c r="K706" t="s">
        <v>533</v>
      </c>
    </row>
    <row r="707" spans="11:11" x14ac:dyDescent="0.2">
      <c r="K707" t="s">
        <v>539</v>
      </c>
    </row>
    <row r="708" spans="11:11" x14ac:dyDescent="0.2">
      <c r="K708" t="s">
        <v>619</v>
      </c>
    </row>
    <row r="709" spans="11:11" x14ac:dyDescent="0.2">
      <c r="K709" t="s">
        <v>251</v>
      </c>
    </row>
    <row r="710" spans="11:11" x14ac:dyDescent="0.2">
      <c r="K710" t="s">
        <v>253</v>
      </c>
    </row>
    <row r="711" spans="11:11" x14ac:dyDescent="0.2">
      <c r="K711" t="s">
        <v>255</v>
      </c>
    </row>
    <row r="712" spans="11:11" x14ac:dyDescent="0.2">
      <c r="K712" t="s">
        <v>257</v>
      </c>
    </row>
    <row r="713" spans="11:11" x14ac:dyDescent="0.2">
      <c r="K713" t="s">
        <v>259</v>
      </c>
    </row>
    <row r="714" spans="11:11" x14ac:dyDescent="0.2">
      <c r="K714" t="s">
        <v>261</v>
      </c>
    </row>
    <row r="715" spans="11:11" x14ac:dyDescent="0.2">
      <c r="K715" t="s">
        <v>545</v>
      </c>
    </row>
    <row r="716" spans="11:11" x14ac:dyDescent="0.2">
      <c r="K716" t="s">
        <v>587</v>
      </c>
    </row>
    <row r="717" spans="11:11" x14ac:dyDescent="0.2">
      <c r="K717" t="s">
        <v>167</v>
      </c>
    </row>
    <row r="718" spans="11:11" x14ac:dyDescent="0.2">
      <c r="K718" t="s">
        <v>380</v>
      </c>
    </row>
    <row r="719" spans="11:11" x14ac:dyDescent="0.2">
      <c r="K719" t="s">
        <v>454</v>
      </c>
    </row>
    <row r="720" spans="11:11" x14ac:dyDescent="0.2">
      <c r="K720" t="s">
        <v>147</v>
      </c>
    </row>
    <row r="721" spans="11:11" x14ac:dyDescent="0.2">
      <c r="K721" t="s">
        <v>552</v>
      </c>
    </row>
    <row r="722" spans="11:11" x14ac:dyDescent="0.2">
      <c r="K722" t="s">
        <v>332</v>
      </c>
    </row>
    <row r="723" spans="11:11" x14ac:dyDescent="0.2">
      <c r="K723" t="s">
        <v>376</v>
      </c>
    </row>
    <row r="724" spans="11:11" x14ac:dyDescent="0.2">
      <c r="K724" t="s">
        <v>386</v>
      </c>
    </row>
    <row r="725" spans="11:11" x14ac:dyDescent="0.2">
      <c r="K725" t="s">
        <v>269</v>
      </c>
    </row>
    <row r="726" spans="11:11" x14ac:dyDescent="0.2">
      <c r="K726" t="s">
        <v>531</v>
      </c>
    </row>
    <row r="727" spans="11:11" x14ac:dyDescent="0.2">
      <c r="K727" t="s">
        <v>306</v>
      </c>
    </row>
    <row r="728" spans="11:11" x14ac:dyDescent="0.2">
      <c r="K728" t="s">
        <v>384</v>
      </c>
    </row>
    <row r="729" spans="11:11" x14ac:dyDescent="0.2">
      <c r="K729" t="s">
        <v>570</v>
      </c>
    </row>
    <row r="730" spans="11:11" x14ac:dyDescent="0.2">
      <c r="K730" t="s">
        <v>572</v>
      </c>
    </row>
    <row r="731" spans="11:11" x14ac:dyDescent="0.2">
      <c r="K731" t="s">
        <v>227</v>
      </c>
    </row>
    <row r="732" spans="11:11" x14ac:dyDescent="0.2">
      <c r="K732" t="s">
        <v>295</v>
      </c>
    </row>
    <row r="733" spans="11:11" x14ac:dyDescent="0.2">
      <c r="K733" t="s">
        <v>131</v>
      </c>
    </row>
    <row r="734" spans="11:11" x14ac:dyDescent="0.2">
      <c r="K734" t="s">
        <v>229</v>
      </c>
    </row>
    <row r="735" spans="11:11" x14ac:dyDescent="0.2">
      <c r="K735" t="s">
        <v>51</v>
      </c>
    </row>
    <row r="736" spans="11:11" x14ac:dyDescent="0.2">
      <c r="K736" t="s">
        <v>521</v>
      </c>
    </row>
    <row r="737" spans="11:11" x14ac:dyDescent="0.2">
      <c r="K737" t="s">
        <v>396</v>
      </c>
    </row>
    <row r="738" spans="11:11" x14ac:dyDescent="0.2">
      <c r="K738" t="s">
        <v>523</v>
      </c>
    </row>
    <row r="739" spans="11:11" x14ac:dyDescent="0.2">
      <c r="K739" t="s">
        <v>585</v>
      </c>
    </row>
    <row r="740" spans="11:11" x14ac:dyDescent="0.2">
      <c r="K740" t="s">
        <v>599</v>
      </c>
    </row>
    <row r="741" spans="11:11" x14ac:dyDescent="0.2">
      <c r="K741" t="s">
        <v>209</v>
      </c>
    </row>
    <row r="742" spans="11:11" x14ac:dyDescent="0.2">
      <c r="K742" t="s">
        <v>33</v>
      </c>
    </row>
    <row r="743" spans="11:11" x14ac:dyDescent="0.2">
      <c r="K743" t="s">
        <v>119</v>
      </c>
    </row>
    <row r="744" spans="11:11" x14ac:dyDescent="0.2">
      <c r="K744" t="s">
        <v>161</v>
      </c>
    </row>
    <row r="745" spans="11:11" x14ac:dyDescent="0.2">
      <c r="K745" t="s">
        <v>23</v>
      </c>
    </row>
    <row r="746" spans="11:11" x14ac:dyDescent="0.2">
      <c r="K746" t="s">
        <v>360</v>
      </c>
    </row>
    <row r="747" spans="11:11" x14ac:dyDescent="0.2">
      <c r="K747" t="s">
        <v>432</v>
      </c>
    </row>
    <row r="748" spans="11:11" x14ac:dyDescent="0.2">
      <c r="K748" t="s">
        <v>434</v>
      </c>
    </row>
    <row r="749" spans="11:11" x14ac:dyDescent="0.2">
      <c r="K749" t="s">
        <v>253</v>
      </c>
    </row>
    <row r="750" spans="11:11" x14ac:dyDescent="0.2">
      <c r="K750" t="s">
        <v>261</v>
      </c>
    </row>
    <row r="751" spans="11:11" x14ac:dyDescent="0.2">
      <c r="K751" t="s">
        <v>19</v>
      </c>
    </row>
    <row r="752" spans="11:11" x14ac:dyDescent="0.2">
      <c r="K752" t="s">
        <v>243</v>
      </c>
    </row>
    <row r="753" spans="11:11" x14ac:dyDescent="0.2">
      <c r="K753" t="s">
        <v>113</v>
      </c>
    </row>
    <row r="754" spans="11:11" x14ac:dyDescent="0.2">
      <c r="K754" t="s">
        <v>199</v>
      </c>
    </row>
    <row r="755" spans="11:11" x14ac:dyDescent="0.2">
      <c r="K755" t="s">
        <v>247</v>
      </c>
    </row>
    <row r="756" spans="11:11" x14ac:dyDescent="0.2">
      <c r="K756" t="s">
        <v>53</v>
      </c>
    </row>
    <row r="757" spans="11:11" x14ac:dyDescent="0.2">
      <c r="K757" t="s">
        <v>336</v>
      </c>
    </row>
    <row r="758" spans="11:11" x14ac:dyDescent="0.2">
      <c r="K758" t="s">
        <v>233</v>
      </c>
    </row>
    <row r="759" spans="11:11" x14ac:dyDescent="0.2">
      <c r="K759" t="s">
        <v>554</v>
      </c>
    </row>
    <row r="760" spans="11:11" x14ac:dyDescent="0.2">
      <c r="K760" t="s">
        <v>207</v>
      </c>
    </row>
    <row r="761" spans="11:11" x14ac:dyDescent="0.2">
      <c r="K761" t="s">
        <v>277</v>
      </c>
    </row>
    <row r="762" spans="11:11" x14ac:dyDescent="0.2">
      <c r="K762" t="s">
        <v>595</v>
      </c>
    </row>
    <row r="763" spans="11:11" x14ac:dyDescent="0.2">
      <c r="K763" t="s">
        <v>474</v>
      </c>
    </row>
    <row r="764" spans="11:11" x14ac:dyDescent="0.2">
      <c r="K764" t="s">
        <v>155</v>
      </c>
    </row>
    <row r="765" spans="11:11" x14ac:dyDescent="0.2">
      <c r="K765" t="s">
        <v>527</v>
      </c>
    </row>
    <row r="766" spans="11:11" x14ac:dyDescent="0.2">
      <c r="K766" t="s">
        <v>476</v>
      </c>
    </row>
    <row r="767" spans="11:11" x14ac:dyDescent="0.2">
      <c r="K767" t="s">
        <v>342</v>
      </c>
    </row>
    <row r="768" spans="11:11" x14ac:dyDescent="0.2">
      <c r="K768" t="s">
        <v>185</v>
      </c>
    </row>
    <row r="769" spans="11:11" x14ac:dyDescent="0.2">
      <c r="K769" t="s">
        <v>414</v>
      </c>
    </row>
    <row r="770" spans="11:11" x14ac:dyDescent="0.2">
      <c r="K770" t="s">
        <v>490</v>
      </c>
    </row>
    <row r="771" spans="11:11" x14ac:dyDescent="0.2">
      <c r="K771" t="s">
        <v>213</v>
      </c>
    </row>
    <row r="772" spans="11:11" x14ac:dyDescent="0.2">
      <c r="K772" t="s">
        <v>330</v>
      </c>
    </row>
    <row r="773" spans="11:11" x14ac:dyDescent="0.2">
      <c r="K773" t="s">
        <v>195</v>
      </c>
    </row>
    <row r="774" spans="11:11" x14ac:dyDescent="0.2">
      <c r="K774" t="s">
        <v>221</v>
      </c>
    </row>
    <row r="775" spans="11:11" x14ac:dyDescent="0.2">
      <c r="K775" t="s">
        <v>482</v>
      </c>
    </row>
    <row r="776" spans="11:11" x14ac:dyDescent="0.2">
      <c r="K776" t="s">
        <v>117</v>
      </c>
    </row>
    <row r="777" spans="11:11" x14ac:dyDescent="0.2">
      <c r="K777" t="s">
        <v>400</v>
      </c>
    </row>
    <row r="778" spans="11:11" x14ac:dyDescent="0.2">
      <c r="K778" t="s">
        <v>125</v>
      </c>
    </row>
    <row r="779" spans="11:11" x14ac:dyDescent="0.2">
      <c r="K779" t="s">
        <v>412</v>
      </c>
    </row>
    <row r="780" spans="11:11" x14ac:dyDescent="0.2">
      <c r="K780" t="s">
        <v>17</v>
      </c>
    </row>
    <row r="781" spans="11:11" x14ac:dyDescent="0.2">
      <c r="K781" t="s">
        <v>81</v>
      </c>
    </row>
    <row r="782" spans="11:11" x14ac:dyDescent="0.2">
      <c r="K782" t="s">
        <v>159</v>
      </c>
    </row>
    <row r="783" spans="11:11" x14ac:dyDescent="0.2">
      <c r="K783" t="s">
        <v>328</v>
      </c>
    </row>
    <row r="784" spans="11:11" x14ac:dyDescent="0.2">
      <c r="K784" t="s">
        <v>99</v>
      </c>
    </row>
    <row r="785" spans="11:11" x14ac:dyDescent="0.2">
      <c r="K785" t="s">
        <v>312</v>
      </c>
    </row>
    <row r="786" spans="11:11" x14ac:dyDescent="0.2">
      <c r="K786" t="s">
        <v>133</v>
      </c>
    </row>
    <row r="787" spans="11:11" x14ac:dyDescent="0.2">
      <c r="K787" t="s">
        <v>392</v>
      </c>
    </row>
    <row r="788" spans="11:11" x14ac:dyDescent="0.2">
      <c r="K788" t="s">
        <v>507</v>
      </c>
    </row>
    <row r="789" spans="11:11" x14ac:dyDescent="0.2">
      <c r="K789" t="s">
        <v>446</v>
      </c>
    </row>
    <row r="790" spans="11:11" x14ac:dyDescent="0.2">
      <c r="K790" t="s">
        <v>135</v>
      </c>
    </row>
    <row r="791" spans="11:11" x14ac:dyDescent="0.2">
      <c r="K791" t="s">
        <v>265</v>
      </c>
    </row>
    <row r="792" spans="11:11" x14ac:dyDescent="0.2">
      <c r="K792" t="s">
        <v>55</v>
      </c>
    </row>
    <row r="793" spans="11:11" x14ac:dyDescent="0.2">
      <c r="K793" t="s">
        <v>623</v>
      </c>
    </row>
    <row r="794" spans="11:11" x14ac:dyDescent="0.2">
      <c r="K794" t="s">
        <v>499</v>
      </c>
    </row>
    <row r="795" spans="11:11" x14ac:dyDescent="0.2">
      <c r="K795" t="s">
        <v>422</v>
      </c>
    </row>
    <row r="796" spans="11:11" x14ac:dyDescent="0.2">
      <c r="K796" t="s">
        <v>203</v>
      </c>
    </row>
    <row r="797" spans="11:11" x14ac:dyDescent="0.2">
      <c r="K797" t="s">
        <v>73</v>
      </c>
    </row>
    <row r="798" spans="11:11" x14ac:dyDescent="0.2">
      <c r="K798" t="s">
        <v>93</v>
      </c>
    </row>
    <row r="799" spans="11:11" x14ac:dyDescent="0.2">
      <c r="K799" t="s">
        <v>418</v>
      </c>
    </row>
    <row r="800" spans="11:11" x14ac:dyDescent="0.2">
      <c r="K800" t="s">
        <v>519</v>
      </c>
    </row>
    <row r="801" spans="11:11" x14ac:dyDescent="0.2">
      <c r="K801" t="s">
        <v>291</v>
      </c>
    </row>
    <row r="802" spans="11:11" x14ac:dyDescent="0.2">
      <c r="K802" t="s">
        <v>271</v>
      </c>
    </row>
    <row r="803" spans="11:11" x14ac:dyDescent="0.2">
      <c r="K803" t="s">
        <v>201</v>
      </c>
    </row>
    <row r="804" spans="11:11" x14ac:dyDescent="0.2">
      <c r="K804" t="s">
        <v>314</v>
      </c>
    </row>
    <row r="805" spans="11:11" x14ac:dyDescent="0.2">
      <c r="K805" t="s">
        <v>35</v>
      </c>
    </row>
    <row r="806" spans="11:11" x14ac:dyDescent="0.2">
      <c r="K806" t="s">
        <v>574</v>
      </c>
    </row>
    <row r="807" spans="11:11" x14ac:dyDescent="0.2">
      <c r="K807" t="s">
        <v>15</v>
      </c>
    </row>
    <row r="808" spans="11:11" x14ac:dyDescent="0.2">
      <c r="K808" t="s">
        <v>601</v>
      </c>
    </row>
    <row r="809" spans="11:11" x14ac:dyDescent="0.2">
      <c r="K809" t="s">
        <v>173</v>
      </c>
    </row>
    <row r="810" spans="11:11" x14ac:dyDescent="0.2">
      <c r="K810" t="s">
        <v>484</v>
      </c>
    </row>
    <row r="811" spans="11:11" x14ac:dyDescent="0.2">
      <c r="K811" t="s">
        <v>153</v>
      </c>
    </row>
    <row r="812" spans="11:11" x14ac:dyDescent="0.2">
      <c r="K812" t="s">
        <v>103</v>
      </c>
    </row>
    <row r="813" spans="11:11" x14ac:dyDescent="0.2">
      <c r="K813" t="s">
        <v>496</v>
      </c>
    </row>
    <row r="814" spans="11:11" x14ac:dyDescent="0.2">
      <c r="K814" t="s">
        <v>279</v>
      </c>
    </row>
    <row r="815" spans="11:11" x14ac:dyDescent="0.2">
      <c r="K815" t="s">
        <v>456</v>
      </c>
    </row>
    <row r="816" spans="11:11" x14ac:dyDescent="0.2">
      <c r="K816" t="s">
        <v>374</v>
      </c>
    </row>
    <row r="817" spans="11:11" x14ac:dyDescent="0.2">
      <c r="K817" t="s">
        <v>157</v>
      </c>
    </row>
    <row r="818" spans="11:11" x14ac:dyDescent="0.2">
      <c r="K818" t="s">
        <v>231</v>
      </c>
    </row>
    <row r="819" spans="11:11" x14ac:dyDescent="0.2">
      <c r="K819" t="s">
        <v>529</v>
      </c>
    </row>
    <row r="820" spans="11:11" x14ac:dyDescent="0.2">
      <c r="K820" t="s">
        <v>67</v>
      </c>
    </row>
    <row r="821" spans="11:11" x14ac:dyDescent="0.2">
      <c r="K821" t="s">
        <v>31</v>
      </c>
    </row>
    <row r="822" spans="11:11" x14ac:dyDescent="0.2">
      <c r="K822" t="s">
        <v>625</v>
      </c>
    </row>
    <row r="823" spans="11:11" x14ac:dyDescent="0.2">
      <c r="K823" t="s">
        <v>143</v>
      </c>
    </row>
    <row r="824" spans="11:11" x14ac:dyDescent="0.2">
      <c r="K824" t="s">
        <v>111</v>
      </c>
    </row>
    <row r="825" spans="11:11" x14ac:dyDescent="0.2">
      <c r="K825" t="s">
        <v>237</v>
      </c>
    </row>
    <row r="826" spans="11:11" x14ac:dyDescent="0.2">
      <c r="K826" t="s">
        <v>127</v>
      </c>
    </row>
    <row r="827" spans="11:11" x14ac:dyDescent="0.2">
      <c r="K827" t="s">
        <v>65</v>
      </c>
    </row>
    <row r="828" spans="11:11" x14ac:dyDescent="0.2">
      <c r="K828" t="s">
        <v>362</v>
      </c>
    </row>
    <row r="829" spans="11:11" x14ac:dyDescent="0.2">
      <c r="K829" t="s">
        <v>141</v>
      </c>
    </row>
    <row r="830" spans="11:11" x14ac:dyDescent="0.2">
      <c r="K830" t="s">
        <v>452</v>
      </c>
    </row>
    <row r="831" spans="11:11" x14ac:dyDescent="0.2">
      <c r="K831" t="s">
        <v>257</v>
      </c>
    </row>
    <row r="832" spans="11:11" x14ac:dyDescent="0.2">
      <c r="K832" t="s">
        <v>368</v>
      </c>
    </row>
    <row r="833" spans="11:11" x14ac:dyDescent="0.2">
      <c r="K833" t="s">
        <v>187</v>
      </c>
    </row>
    <row r="834" spans="11:11" x14ac:dyDescent="0.2">
      <c r="K834" t="s">
        <v>488</v>
      </c>
    </row>
    <row r="835" spans="11:11" x14ac:dyDescent="0.2">
      <c r="K835" t="s">
        <v>390</v>
      </c>
    </row>
    <row r="836" spans="11:11" x14ac:dyDescent="0.2">
      <c r="K836" t="s">
        <v>537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8CE0-BEA8-4CCD-908F-F19456348B7D}">
  <dimension ref="B2:Q310"/>
  <sheetViews>
    <sheetView zoomScale="71" zoomScaleNormal="71" workbookViewId="0">
      <selection activeCell="F20" sqref="F20"/>
    </sheetView>
  </sheetViews>
  <sheetFormatPr defaultRowHeight="14.25" x14ac:dyDescent="0.2"/>
  <cols>
    <col min="5" max="5" width="23" customWidth="1"/>
    <col min="6" max="6" width="104" bestFit="1" customWidth="1"/>
  </cols>
  <sheetData>
    <row r="2" spans="2:17" x14ac:dyDescent="0.2">
      <c r="B2" t="s">
        <v>1930</v>
      </c>
      <c r="E2" t="s">
        <v>628</v>
      </c>
      <c r="F2" t="s">
        <v>3</v>
      </c>
      <c r="G2" t="s">
        <v>2</v>
      </c>
      <c r="H2" t="s">
        <v>629</v>
      </c>
      <c r="I2" t="s">
        <v>630</v>
      </c>
      <c r="J2" t="s">
        <v>631</v>
      </c>
      <c r="K2" t="s">
        <v>632</v>
      </c>
      <c r="L2" t="s">
        <v>633</v>
      </c>
      <c r="M2" t="s">
        <v>634</v>
      </c>
      <c r="N2" t="s">
        <v>635</v>
      </c>
      <c r="O2" t="s">
        <v>636</v>
      </c>
      <c r="P2" t="s">
        <v>637</v>
      </c>
      <c r="Q2" t="s">
        <v>638</v>
      </c>
    </row>
    <row r="3" spans="2:17" x14ac:dyDescent="0.2">
      <c r="B3" t="s">
        <v>4</v>
      </c>
      <c r="E3" t="s">
        <v>376</v>
      </c>
      <c r="F3" t="s">
        <v>377</v>
      </c>
      <c r="G3" t="s">
        <v>5</v>
      </c>
      <c r="H3" t="s">
        <v>639</v>
      </c>
      <c r="K3" t="s">
        <v>640</v>
      </c>
      <c r="O3" t="s">
        <v>641</v>
      </c>
    </row>
    <row r="4" spans="2:17" x14ac:dyDescent="0.2">
      <c r="B4" t="s">
        <v>7</v>
      </c>
      <c r="E4" t="s">
        <v>562</v>
      </c>
      <c r="F4" t="s">
        <v>563</v>
      </c>
      <c r="G4" t="s">
        <v>5</v>
      </c>
      <c r="H4" t="s">
        <v>639</v>
      </c>
      <c r="K4" t="s">
        <v>640</v>
      </c>
      <c r="O4" t="s">
        <v>641</v>
      </c>
    </row>
    <row r="5" spans="2:17" x14ac:dyDescent="0.2">
      <c r="B5" t="s">
        <v>9</v>
      </c>
      <c r="E5" t="s">
        <v>241</v>
      </c>
      <c r="F5" t="s">
        <v>242</v>
      </c>
      <c r="G5" t="s">
        <v>5</v>
      </c>
      <c r="H5" t="s">
        <v>644</v>
      </c>
      <c r="O5" t="s">
        <v>645</v>
      </c>
    </row>
    <row r="6" spans="2:17" x14ac:dyDescent="0.2">
      <c r="B6" t="s">
        <v>11</v>
      </c>
      <c r="E6" t="s">
        <v>4</v>
      </c>
      <c r="F6" t="s">
        <v>6</v>
      </c>
      <c r="G6" t="s">
        <v>5</v>
      </c>
      <c r="H6" t="s">
        <v>647</v>
      </c>
      <c r="O6" t="s">
        <v>645</v>
      </c>
    </row>
    <row r="7" spans="2:17" x14ac:dyDescent="0.2">
      <c r="B7" t="s">
        <v>13</v>
      </c>
      <c r="E7" t="s">
        <v>147</v>
      </c>
      <c r="F7" t="s">
        <v>148</v>
      </c>
      <c r="G7" t="s">
        <v>5</v>
      </c>
      <c r="H7" t="s">
        <v>648</v>
      </c>
    </row>
    <row r="8" spans="2:17" x14ac:dyDescent="0.2">
      <c r="B8" t="s">
        <v>15</v>
      </c>
      <c r="E8" t="s">
        <v>49</v>
      </c>
      <c r="F8" t="s">
        <v>50</v>
      </c>
      <c r="G8" t="s">
        <v>5</v>
      </c>
      <c r="H8" t="s">
        <v>650</v>
      </c>
    </row>
    <row r="9" spans="2:17" x14ac:dyDescent="0.2">
      <c r="B9" t="s">
        <v>17</v>
      </c>
      <c r="E9" t="s">
        <v>289</v>
      </c>
      <c r="F9" t="s">
        <v>290</v>
      </c>
      <c r="G9" t="s">
        <v>5</v>
      </c>
      <c r="H9" t="s">
        <v>652</v>
      </c>
    </row>
    <row r="10" spans="2:17" x14ac:dyDescent="0.2">
      <c r="B10" t="s">
        <v>19</v>
      </c>
      <c r="E10" t="s">
        <v>378</v>
      </c>
      <c r="F10" t="s">
        <v>379</v>
      </c>
      <c r="G10" t="s">
        <v>5</v>
      </c>
      <c r="H10" t="s">
        <v>654</v>
      </c>
    </row>
    <row r="11" spans="2:17" x14ac:dyDescent="0.2">
      <c r="B11" t="s">
        <v>21</v>
      </c>
      <c r="E11" t="s">
        <v>386</v>
      </c>
      <c r="F11" t="s">
        <v>387</v>
      </c>
      <c r="G11" t="s">
        <v>5</v>
      </c>
      <c r="H11" t="s">
        <v>655</v>
      </c>
      <c r="K11" t="s">
        <v>656</v>
      </c>
      <c r="O11" t="s">
        <v>657</v>
      </c>
    </row>
    <row r="12" spans="2:17" x14ac:dyDescent="0.2">
      <c r="B12" t="s">
        <v>23</v>
      </c>
      <c r="E12" t="s">
        <v>472</v>
      </c>
      <c r="F12" t="s">
        <v>473</v>
      </c>
      <c r="G12" t="s">
        <v>5</v>
      </c>
      <c r="H12" t="s">
        <v>639</v>
      </c>
      <c r="K12" t="s">
        <v>659</v>
      </c>
      <c r="O12" t="s">
        <v>660</v>
      </c>
    </row>
    <row r="13" spans="2:17" x14ac:dyDescent="0.2">
      <c r="B13" t="s">
        <v>25</v>
      </c>
      <c r="E13" t="s">
        <v>572</v>
      </c>
      <c r="F13" t="s">
        <v>573</v>
      </c>
      <c r="G13" t="s">
        <v>5</v>
      </c>
      <c r="H13" t="s">
        <v>650</v>
      </c>
      <c r="M13" t="s">
        <v>661</v>
      </c>
      <c r="O13" t="s">
        <v>662</v>
      </c>
      <c r="Q13" t="s">
        <v>663</v>
      </c>
    </row>
    <row r="14" spans="2:17" x14ac:dyDescent="0.2">
      <c r="B14" t="s">
        <v>27</v>
      </c>
      <c r="E14" t="s">
        <v>332</v>
      </c>
      <c r="F14" t="s">
        <v>333</v>
      </c>
      <c r="G14" t="s">
        <v>5</v>
      </c>
      <c r="H14" t="s">
        <v>652</v>
      </c>
      <c r="M14" t="s">
        <v>664</v>
      </c>
      <c r="O14" t="s">
        <v>665</v>
      </c>
      <c r="P14" t="s">
        <v>666</v>
      </c>
      <c r="Q14" t="s">
        <v>667</v>
      </c>
    </row>
    <row r="15" spans="2:17" x14ac:dyDescent="0.2">
      <c r="B15" t="s">
        <v>29</v>
      </c>
      <c r="E15" t="s">
        <v>221</v>
      </c>
      <c r="F15" t="s">
        <v>222</v>
      </c>
      <c r="G15" t="s">
        <v>5</v>
      </c>
      <c r="H15" t="s">
        <v>669</v>
      </c>
    </row>
    <row r="16" spans="2:17" x14ac:dyDescent="0.2">
      <c r="B16" t="s">
        <v>31</v>
      </c>
      <c r="E16" t="s">
        <v>408</v>
      </c>
      <c r="F16" t="s">
        <v>409</v>
      </c>
      <c r="G16" t="s">
        <v>5</v>
      </c>
      <c r="H16" t="s">
        <v>654</v>
      </c>
    </row>
    <row r="17" spans="2:16" x14ac:dyDescent="0.2">
      <c r="B17" t="s">
        <v>33</v>
      </c>
      <c r="E17" t="s">
        <v>507</v>
      </c>
      <c r="F17" t="s">
        <v>508</v>
      </c>
      <c r="G17" t="s">
        <v>5</v>
      </c>
      <c r="H17" t="s">
        <v>670</v>
      </c>
    </row>
    <row r="18" spans="2:16" x14ac:dyDescent="0.2">
      <c r="B18" t="s">
        <v>35</v>
      </c>
      <c r="E18" t="s">
        <v>183</v>
      </c>
      <c r="F18" t="s">
        <v>184</v>
      </c>
      <c r="G18" t="s">
        <v>5</v>
      </c>
      <c r="H18" t="s">
        <v>654</v>
      </c>
    </row>
    <row r="19" spans="2:16" x14ac:dyDescent="0.2">
      <c r="B19" t="s">
        <v>37</v>
      </c>
      <c r="E19" t="s">
        <v>350</v>
      </c>
      <c r="F19" t="s">
        <v>351</v>
      </c>
      <c r="G19" t="s">
        <v>5</v>
      </c>
      <c r="H19" t="s">
        <v>673</v>
      </c>
    </row>
    <row r="20" spans="2:16" x14ac:dyDescent="0.2">
      <c r="B20" t="s">
        <v>39</v>
      </c>
      <c r="E20" t="s">
        <v>63</v>
      </c>
      <c r="F20" t="s">
        <v>64</v>
      </c>
      <c r="G20" t="s">
        <v>5</v>
      </c>
      <c r="H20" t="s">
        <v>675</v>
      </c>
    </row>
    <row r="21" spans="2:16" x14ac:dyDescent="0.2">
      <c r="B21" t="s">
        <v>41</v>
      </c>
      <c r="E21" t="s">
        <v>338</v>
      </c>
      <c r="F21" t="s">
        <v>339</v>
      </c>
      <c r="G21" t="s">
        <v>5</v>
      </c>
      <c r="H21" t="s">
        <v>652</v>
      </c>
      <c r="O21" t="s">
        <v>677</v>
      </c>
      <c r="P21" t="s">
        <v>678</v>
      </c>
    </row>
    <row r="22" spans="2:16" x14ac:dyDescent="0.2">
      <c r="B22" t="s">
        <v>43</v>
      </c>
      <c r="E22" t="s">
        <v>291</v>
      </c>
      <c r="F22" t="s">
        <v>292</v>
      </c>
      <c r="G22" t="s">
        <v>5</v>
      </c>
      <c r="H22" t="s">
        <v>654</v>
      </c>
      <c r="O22" t="s">
        <v>677</v>
      </c>
      <c r="P22" t="s">
        <v>678</v>
      </c>
    </row>
    <row r="23" spans="2:16" x14ac:dyDescent="0.2">
      <c r="B23" t="s">
        <v>45</v>
      </c>
      <c r="E23" t="s">
        <v>316</v>
      </c>
      <c r="F23" t="s">
        <v>317</v>
      </c>
      <c r="G23" t="s">
        <v>5</v>
      </c>
      <c r="H23" t="s">
        <v>652</v>
      </c>
    </row>
    <row r="24" spans="2:16" x14ac:dyDescent="0.2">
      <c r="B24" t="s">
        <v>47</v>
      </c>
      <c r="E24" t="s">
        <v>293</v>
      </c>
      <c r="F24" t="s">
        <v>294</v>
      </c>
      <c r="G24" t="s">
        <v>5</v>
      </c>
      <c r="H24" t="s">
        <v>680</v>
      </c>
      <c r="K24" t="s">
        <v>681</v>
      </c>
      <c r="O24" t="s">
        <v>682</v>
      </c>
    </row>
    <row r="25" spans="2:16" x14ac:dyDescent="0.2">
      <c r="B25" t="s">
        <v>49</v>
      </c>
      <c r="E25" t="s">
        <v>346</v>
      </c>
      <c r="F25" t="s">
        <v>347</v>
      </c>
      <c r="G25" t="s">
        <v>5</v>
      </c>
      <c r="H25" t="s">
        <v>639</v>
      </c>
      <c r="K25" t="s">
        <v>683</v>
      </c>
      <c r="N25" t="s">
        <v>684</v>
      </c>
      <c r="O25" t="s">
        <v>685</v>
      </c>
      <c r="P25" t="s">
        <v>686</v>
      </c>
    </row>
    <row r="26" spans="2:16" x14ac:dyDescent="0.2">
      <c r="B26" t="s">
        <v>51</v>
      </c>
      <c r="E26" t="s">
        <v>37</v>
      </c>
      <c r="F26" t="s">
        <v>38</v>
      </c>
      <c r="G26" t="s">
        <v>5</v>
      </c>
      <c r="H26" t="s">
        <v>688</v>
      </c>
      <c r="K26" t="s">
        <v>683</v>
      </c>
      <c r="N26" t="s">
        <v>684</v>
      </c>
      <c r="O26" t="s">
        <v>685</v>
      </c>
      <c r="P26" t="s">
        <v>686</v>
      </c>
    </row>
    <row r="27" spans="2:16" x14ac:dyDescent="0.2">
      <c r="B27" t="s">
        <v>53</v>
      </c>
      <c r="E27" t="s">
        <v>552</v>
      </c>
      <c r="F27" t="s">
        <v>553</v>
      </c>
      <c r="G27" t="s">
        <v>5</v>
      </c>
      <c r="H27" t="s">
        <v>652</v>
      </c>
      <c r="O27" t="s">
        <v>689</v>
      </c>
    </row>
    <row r="28" spans="2:16" x14ac:dyDescent="0.2">
      <c r="B28" t="s">
        <v>55</v>
      </c>
      <c r="E28" t="s">
        <v>444</v>
      </c>
      <c r="F28" t="s">
        <v>445</v>
      </c>
      <c r="G28" t="s">
        <v>5</v>
      </c>
      <c r="H28" t="s">
        <v>654</v>
      </c>
      <c r="O28" t="s">
        <v>689</v>
      </c>
    </row>
    <row r="29" spans="2:16" x14ac:dyDescent="0.2">
      <c r="B29" t="s">
        <v>57</v>
      </c>
      <c r="E29" t="s">
        <v>67</v>
      </c>
      <c r="F29" t="s">
        <v>68</v>
      </c>
      <c r="G29" t="s">
        <v>5</v>
      </c>
      <c r="H29" t="s">
        <v>673</v>
      </c>
      <c r="O29" t="s">
        <v>691</v>
      </c>
    </row>
    <row r="30" spans="2:16" x14ac:dyDescent="0.2">
      <c r="B30" t="s">
        <v>59</v>
      </c>
      <c r="E30" t="s">
        <v>412</v>
      </c>
      <c r="F30" t="s">
        <v>413</v>
      </c>
      <c r="G30" t="s">
        <v>5</v>
      </c>
      <c r="H30" t="s">
        <v>733</v>
      </c>
      <c r="O30" t="s">
        <v>691</v>
      </c>
    </row>
    <row r="31" spans="2:16" x14ac:dyDescent="0.2">
      <c r="B31" t="s">
        <v>61</v>
      </c>
      <c r="E31" t="s">
        <v>484</v>
      </c>
      <c r="F31" t="s">
        <v>485</v>
      </c>
      <c r="G31" t="s">
        <v>5</v>
      </c>
      <c r="H31" t="s">
        <v>700</v>
      </c>
      <c r="M31" t="s">
        <v>694</v>
      </c>
      <c r="O31" t="s">
        <v>695</v>
      </c>
      <c r="P31" t="s">
        <v>696</v>
      </c>
    </row>
    <row r="32" spans="2:16" x14ac:dyDescent="0.2">
      <c r="B32" t="s">
        <v>63</v>
      </c>
      <c r="E32" t="s">
        <v>91</v>
      </c>
      <c r="F32" t="s">
        <v>92</v>
      </c>
      <c r="G32" t="s">
        <v>5</v>
      </c>
      <c r="H32" t="s">
        <v>693</v>
      </c>
      <c r="M32" t="s">
        <v>694</v>
      </c>
      <c r="O32" t="s">
        <v>695</v>
      </c>
      <c r="P32" t="s">
        <v>696</v>
      </c>
    </row>
    <row r="33" spans="2:17" x14ac:dyDescent="0.2">
      <c r="B33" t="s">
        <v>65</v>
      </c>
      <c r="E33" t="s">
        <v>607</v>
      </c>
      <c r="F33" t="s">
        <v>608</v>
      </c>
      <c r="G33" t="s">
        <v>5</v>
      </c>
      <c r="H33" t="s">
        <v>639</v>
      </c>
      <c r="O33" t="s">
        <v>697</v>
      </c>
    </row>
    <row r="34" spans="2:17" x14ac:dyDescent="0.2">
      <c r="B34" t="s">
        <v>67</v>
      </c>
      <c r="E34" t="s">
        <v>414</v>
      </c>
      <c r="F34" t="s">
        <v>415</v>
      </c>
      <c r="G34" t="s">
        <v>5</v>
      </c>
      <c r="H34" t="s">
        <v>639</v>
      </c>
      <c r="O34" t="s">
        <v>697</v>
      </c>
    </row>
    <row r="35" spans="2:17" x14ac:dyDescent="0.2">
      <c r="B35" t="s">
        <v>69</v>
      </c>
      <c r="E35" t="s">
        <v>249</v>
      </c>
      <c r="F35" t="s">
        <v>250</v>
      </c>
      <c r="G35" t="s">
        <v>5</v>
      </c>
      <c r="H35" t="s">
        <v>699</v>
      </c>
    </row>
    <row r="36" spans="2:17" x14ac:dyDescent="0.2">
      <c r="B36" t="s">
        <v>71</v>
      </c>
      <c r="E36" t="s">
        <v>340</v>
      </c>
      <c r="F36" t="s">
        <v>341</v>
      </c>
      <c r="G36" t="s">
        <v>5</v>
      </c>
      <c r="H36" t="s">
        <v>700</v>
      </c>
    </row>
    <row r="37" spans="2:17" x14ac:dyDescent="0.2">
      <c r="B37" t="s">
        <v>73</v>
      </c>
      <c r="E37" t="s">
        <v>93</v>
      </c>
      <c r="F37" t="s">
        <v>94</v>
      </c>
      <c r="G37" t="s">
        <v>5</v>
      </c>
      <c r="H37" t="s">
        <v>688</v>
      </c>
    </row>
    <row r="38" spans="2:17" x14ac:dyDescent="0.2">
      <c r="B38" t="s">
        <v>75</v>
      </c>
      <c r="E38" t="s">
        <v>344</v>
      </c>
      <c r="F38" t="s">
        <v>345</v>
      </c>
      <c r="G38" t="s">
        <v>5</v>
      </c>
      <c r="H38" t="s">
        <v>702</v>
      </c>
      <c r="K38" t="s">
        <v>703</v>
      </c>
      <c r="O38" t="s">
        <v>704</v>
      </c>
      <c r="P38" t="s">
        <v>705</v>
      </c>
    </row>
    <row r="39" spans="2:17" x14ac:dyDescent="0.2">
      <c r="B39" t="s">
        <v>77</v>
      </c>
      <c r="E39" t="s">
        <v>545</v>
      </c>
      <c r="F39" t="s">
        <v>546</v>
      </c>
      <c r="G39" t="s">
        <v>5</v>
      </c>
      <c r="H39" t="s">
        <v>700</v>
      </c>
      <c r="K39" t="s">
        <v>703</v>
      </c>
      <c r="M39" t="s">
        <v>706</v>
      </c>
      <c r="P39" t="s">
        <v>707</v>
      </c>
    </row>
    <row r="40" spans="2:17" x14ac:dyDescent="0.2">
      <c r="B40" t="s">
        <v>79</v>
      </c>
      <c r="E40" t="s">
        <v>191</v>
      </c>
      <c r="F40" t="s">
        <v>192</v>
      </c>
      <c r="G40" t="s">
        <v>5</v>
      </c>
      <c r="H40" t="s">
        <v>655</v>
      </c>
      <c r="K40" t="s">
        <v>703</v>
      </c>
      <c r="O40" t="s">
        <v>704</v>
      </c>
      <c r="P40" t="s">
        <v>705</v>
      </c>
    </row>
    <row r="41" spans="2:17" x14ac:dyDescent="0.2">
      <c r="B41" t="s">
        <v>81</v>
      </c>
      <c r="E41" t="s">
        <v>143</v>
      </c>
      <c r="F41" t="s">
        <v>144</v>
      </c>
      <c r="G41" t="s">
        <v>5</v>
      </c>
      <c r="H41" t="s">
        <v>693</v>
      </c>
      <c r="K41" t="s">
        <v>703</v>
      </c>
      <c r="M41" t="s">
        <v>706</v>
      </c>
      <c r="P41" t="s">
        <v>707</v>
      </c>
    </row>
    <row r="42" spans="2:17" x14ac:dyDescent="0.2">
      <c r="B42" t="s">
        <v>83</v>
      </c>
      <c r="E42" t="s">
        <v>426</v>
      </c>
      <c r="F42" t="s">
        <v>427</v>
      </c>
      <c r="G42" t="s">
        <v>5</v>
      </c>
      <c r="H42" t="s">
        <v>702</v>
      </c>
      <c r="K42" t="s">
        <v>703</v>
      </c>
      <c r="O42" t="s">
        <v>704</v>
      </c>
      <c r="P42" t="s">
        <v>710</v>
      </c>
    </row>
    <row r="43" spans="2:17" x14ac:dyDescent="0.2">
      <c r="B43" t="s">
        <v>85</v>
      </c>
      <c r="E43" t="s">
        <v>151</v>
      </c>
      <c r="F43" t="s">
        <v>152</v>
      </c>
      <c r="G43" t="s">
        <v>5</v>
      </c>
      <c r="H43" t="s">
        <v>654</v>
      </c>
      <c r="O43" t="s">
        <v>712</v>
      </c>
    </row>
    <row r="44" spans="2:17" x14ac:dyDescent="0.2">
      <c r="B44" t="s">
        <v>87</v>
      </c>
      <c r="E44" t="s">
        <v>203</v>
      </c>
      <c r="F44" t="s">
        <v>204</v>
      </c>
      <c r="G44" t="s">
        <v>5</v>
      </c>
      <c r="H44" t="s">
        <v>714</v>
      </c>
      <c r="M44" t="s">
        <v>715</v>
      </c>
      <c r="O44" t="s">
        <v>716</v>
      </c>
      <c r="P44" t="s">
        <v>717</v>
      </c>
      <c r="Q44" t="s">
        <v>718</v>
      </c>
    </row>
    <row r="45" spans="2:17" x14ac:dyDescent="0.2">
      <c r="B45" t="s">
        <v>89</v>
      </c>
      <c r="E45" t="s">
        <v>211</v>
      </c>
      <c r="F45" t="s">
        <v>212</v>
      </c>
      <c r="G45" t="s">
        <v>5</v>
      </c>
      <c r="H45" t="s">
        <v>680</v>
      </c>
      <c r="J45" t="s">
        <v>720</v>
      </c>
      <c r="K45" t="s">
        <v>721</v>
      </c>
      <c r="L45" t="s">
        <v>722</v>
      </c>
      <c r="O45" t="s">
        <v>723</v>
      </c>
    </row>
    <row r="46" spans="2:17" x14ac:dyDescent="0.2">
      <c r="B46" t="s">
        <v>91</v>
      </c>
      <c r="E46" t="s">
        <v>17</v>
      </c>
      <c r="F46" t="s">
        <v>18</v>
      </c>
      <c r="G46" t="s">
        <v>5</v>
      </c>
      <c r="H46" t="s">
        <v>675</v>
      </c>
      <c r="O46" t="s">
        <v>724</v>
      </c>
    </row>
    <row r="47" spans="2:17" x14ac:dyDescent="0.2">
      <c r="B47" t="s">
        <v>93</v>
      </c>
      <c r="E47" t="s">
        <v>358</v>
      </c>
      <c r="F47" t="s">
        <v>359</v>
      </c>
      <c r="G47" t="s">
        <v>5</v>
      </c>
      <c r="H47" t="s">
        <v>693</v>
      </c>
    </row>
    <row r="48" spans="2:17" x14ac:dyDescent="0.2">
      <c r="B48" t="s">
        <v>95</v>
      </c>
      <c r="E48" t="s">
        <v>259</v>
      </c>
      <c r="F48" t="s">
        <v>260</v>
      </c>
      <c r="G48" t="s">
        <v>5</v>
      </c>
      <c r="H48" t="s">
        <v>726</v>
      </c>
      <c r="O48" t="s">
        <v>727</v>
      </c>
    </row>
    <row r="49" spans="2:16" x14ac:dyDescent="0.2">
      <c r="B49" t="s">
        <v>97</v>
      </c>
      <c r="E49" t="s">
        <v>197</v>
      </c>
      <c r="F49" t="s">
        <v>198</v>
      </c>
      <c r="G49" t="s">
        <v>5</v>
      </c>
      <c r="H49" t="s">
        <v>654</v>
      </c>
      <c r="O49" t="s">
        <v>727</v>
      </c>
    </row>
    <row r="50" spans="2:16" x14ac:dyDescent="0.2">
      <c r="B50" t="s">
        <v>99</v>
      </c>
      <c r="E50" t="s">
        <v>318</v>
      </c>
      <c r="F50" t="s">
        <v>319</v>
      </c>
      <c r="G50" t="s">
        <v>5</v>
      </c>
      <c r="H50" t="s">
        <v>693</v>
      </c>
      <c r="O50" t="s">
        <v>727</v>
      </c>
    </row>
    <row r="51" spans="2:16" x14ac:dyDescent="0.2">
      <c r="B51" t="s">
        <v>101</v>
      </c>
      <c r="E51" t="s">
        <v>141</v>
      </c>
      <c r="F51" t="s">
        <v>142</v>
      </c>
      <c r="G51" t="s">
        <v>5</v>
      </c>
      <c r="H51" t="s">
        <v>729</v>
      </c>
      <c r="O51" t="s">
        <v>727</v>
      </c>
    </row>
    <row r="52" spans="2:16" x14ac:dyDescent="0.2">
      <c r="B52" t="s">
        <v>103</v>
      </c>
      <c r="E52" t="s">
        <v>543</v>
      </c>
      <c r="F52" t="s">
        <v>544</v>
      </c>
      <c r="G52" t="s">
        <v>5</v>
      </c>
      <c r="H52" t="s">
        <v>644</v>
      </c>
      <c r="O52" t="s">
        <v>727</v>
      </c>
    </row>
    <row r="53" spans="2:16" x14ac:dyDescent="0.2">
      <c r="B53" t="s">
        <v>105</v>
      </c>
      <c r="E53" t="s">
        <v>488</v>
      </c>
      <c r="F53" t="s">
        <v>489</v>
      </c>
      <c r="G53" t="s">
        <v>5</v>
      </c>
      <c r="H53" t="s">
        <v>729</v>
      </c>
      <c r="O53" t="s">
        <v>1007</v>
      </c>
    </row>
    <row r="54" spans="2:16" x14ac:dyDescent="0.2">
      <c r="B54" t="s">
        <v>107</v>
      </c>
      <c r="E54" t="s">
        <v>428</v>
      </c>
      <c r="F54" t="s">
        <v>429</v>
      </c>
      <c r="G54" t="s">
        <v>5</v>
      </c>
      <c r="H54" t="s">
        <v>732</v>
      </c>
      <c r="O54" t="s">
        <v>727</v>
      </c>
    </row>
    <row r="55" spans="2:16" x14ac:dyDescent="0.2">
      <c r="B55" t="s">
        <v>109</v>
      </c>
      <c r="E55" t="s">
        <v>446</v>
      </c>
      <c r="F55" t="s">
        <v>447</v>
      </c>
      <c r="G55" t="s">
        <v>5</v>
      </c>
      <c r="H55" t="s">
        <v>733</v>
      </c>
      <c r="O55" t="s">
        <v>727</v>
      </c>
    </row>
    <row r="56" spans="2:16" x14ac:dyDescent="0.2">
      <c r="B56" t="s">
        <v>111</v>
      </c>
      <c r="E56" t="s">
        <v>209</v>
      </c>
      <c r="F56" t="s">
        <v>210</v>
      </c>
      <c r="G56" t="s">
        <v>5</v>
      </c>
      <c r="H56" t="s">
        <v>734</v>
      </c>
      <c r="K56" t="s">
        <v>735</v>
      </c>
      <c r="L56" t="s">
        <v>736</v>
      </c>
      <c r="O56" t="s">
        <v>737</v>
      </c>
      <c r="P56" t="s">
        <v>738</v>
      </c>
    </row>
    <row r="57" spans="2:16" x14ac:dyDescent="0.2">
      <c r="B57" t="s">
        <v>113</v>
      </c>
      <c r="E57" t="s">
        <v>207</v>
      </c>
      <c r="F57" t="s">
        <v>208</v>
      </c>
      <c r="G57" t="s">
        <v>5</v>
      </c>
      <c r="H57" t="s">
        <v>726</v>
      </c>
      <c r="K57" t="s">
        <v>735</v>
      </c>
      <c r="L57" t="s">
        <v>736</v>
      </c>
      <c r="O57" t="s">
        <v>737</v>
      </c>
      <c r="P57" t="s">
        <v>738</v>
      </c>
    </row>
    <row r="58" spans="2:16" x14ac:dyDescent="0.2">
      <c r="B58" t="s">
        <v>115</v>
      </c>
      <c r="E58" t="s">
        <v>513</v>
      </c>
      <c r="F58" t="s">
        <v>514</v>
      </c>
      <c r="G58" t="s">
        <v>5</v>
      </c>
      <c r="H58" t="s">
        <v>675</v>
      </c>
    </row>
    <row r="59" spans="2:16" x14ac:dyDescent="0.2">
      <c r="B59" t="s">
        <v>117</v>
      </c>
      <c r="E59" t="s">
        <v>587</v>
      </c>
      <c r="F59" t="s">
        <v>588</v>
      </c>
      <c r="G59" t="s">
        <v>5</v>
      </c>
      <c r="H59" t="s">
        <v>675</v>
      </c>
      <c r="K59" t="s">
        <v>735</v>
      </c>
      <c r="L59" t="s">
        <v>736</v>
      </c>
      <c r="O59" t="s">
        <v>737</v>
      </c>
      <c r="P59" t="s">
        <v>738</v>
      </c>
    </row>
    <row r="60" spans="2:16" x14ac:dyDescent="0.2">
      <c r="B60" t="s">
        <v>119</v>
      </c>
      <c r="E60" t="s">
        <v>326</v>
      </c>
      <c r="F60" t="s">
        <v>327</v>
      </c>
      <c r="G60" t="s">
        <v>5</v>
      </c>
      <c r="H60" t="s">
        <v>734</v>
      </c>
      <c r="M60" t="s">
        <v>740</v>
      </c>
      <c r="O60" t="s">
        <v>741</v>
      </c>
      <c r="P60" t="s">
        <v>742</v>
      </c>
    </row>
    <row r="61" spans="2:16" x14ac:dyDescent="0.2">
      <c r="B61" t="s">
        <v>121</v>
      </c>
      <c r="E61" t="s">
        <v>229</v>
      </c>
      <c r="F61" t="s">
        <v>230</v>
      </c>
      <c r="G61" t="s">
        <v>5</v>
      </c>
      <c r="H61" t="s">
        <v>654</v>
      </c>
    </row>
    <row r="62" spans="2:16" x14ac:dyDescent="0.2">
      <c r="B62" t="s">
        <v>123</v>
      </c>
      <c r="E62" t="s">
        <v>424</v>
      </c>
      <c r="F62" t="s">
        <v>425</v>
      </c>
      <c r="G62" t="s">
        <v>5</v>
      </c>
      <c r="H62" t="s">
        <v>734</v>
      </c>
    </row>
    <row r="63" spans="2:16" x14ac:dyDescent="0.2">
      <c r="B63" t="s">
        <v>125</v>
      </c>
      <c r="E63" t="s">
        <v>121</v>
      </c>
      <c r="F63" t="s">
        <v>122</v>
      </c>
      <c r="G63" t="s">
        <v>5</v>
      </c>
      <c r="H63" t="s">
        <v>675</v>
      </c>
      <c r="O63" t="s">
        <v>745</v>
      </c>
      <c r="P63" t="s">
        <v>746</v>
      </c>
    </row>
    <row r="64" spans="2:16" x14ac:dyDescent="0.2">
      <c r="B64" t="s">
        <v>127</v>
      </c>
      <c r="E64" t="s">
        <v>585</v>
      </c>
      <c r="F64" t="s">
        <v>586</v>
      </c>
      <c r="G64" t="s">
        <v>5</v>
      </c>
      <c r="H64" t="s">
        <v>732</v>
      </c>
      <c r="K64" t="s">
        <v>857</v>
      </c>
      <c r="L64" t="s">
        <v>858</v>
      </c>
      <c r="O64" t="s">
        <v>859</v>
      </c>
    </row>
    <row r="65" spans="2:17" x14ac:dyDescent="0.2">
      <c r="B65" t="s">
        <v>129</v>
      </c>
      <c r="E65" t="s">
        <v>85</v>
      </c>
      <c r="F65" t="s">
        <v>86</v>
      </c>
      <c r="G65" t="s">
        <v>5</v>
      </c>
      <c r="H65" t="s">
        <v>693</v>
      </c>
      <c r="M65" t="s">
        <v>748</v>
      </c>
      <c r="O65" t="s">
        <v>749</v>
      </c>
      <c r="P65" t="s">
        <v>750</v>
      </c>
      <c r="Q65" t="s">
        <v>751</v>
      </c>
    </row>
    <row r="66" spans="2:17" x14ac:dyDescent="0.2">
      <c r="B66" t="s">
        <v>131</v>
      </c>
      <c r="E66" t="s">
        <v>103</v>
      </c>
      <c r="F66" t="s">
        <v>104</v>
      </c>
      <c r="G66" t="s">
        <v>5</v>
      </c>
      <c r="H66" t="s">
        <v>700</v>
      </c>
      <c r="M66" t="s">
        <v>748</v>
      </c>
      <c r="O66" t="s">
        <v>749</v>
      </c>
      <c r="P66" t="s">
        <v>750</v>
      </c>
      <c r="Q66" t="s">
        <v>751</v>
      </c>
    </row>
    <row r="67" spans="2:17" x14ac:dyDescent="0.2">
      <c r="B67" t="s">
        <v>133</v>
      </c>
      <c r="E67" t="s">
        <v>474</v>
      </c>
      <c r="F67" t="s">
        <v>475</v>
      </c>
      <c r="G67" t="s">
        <v>5</v>
      </c>
      <c r="H67" t="s">
        <v>774</v>
      </c>
      <c r="M67" t="s">
        <v>748</v>
      </c>
    </row>
    <row r="68" spans="2:17" x14ac:dyDescent="0.2">
      <c r="B68" t="s">
        <v>135</v>
      </c>
      <c r="E68" t="s">
        <v>525</v>
      </c>
      <c r="F68" t="s">
        <v>526</v>
      </c>
      <c r="G68" t="s">
        <v>5</v>
      </c>
      <c r="H68" t="s">
        <v>702</v>
      </c>
      <c r="M68" t="s">
        <v>748</v>
      </c>
    </row>
    <row r="69" spans="2:17" x14ac:dyDescent="0.2">
      <c r="B69" t="s">
        <v>137</v>
      </c>
      <c r="E69" t="s">
        <v>149</v>
      </c>
      <c r="F69" t="s">
        <v>150</v>
      </c>
      <c r="G69" t="s">
        <v>5</v>
      </c>
      <c r="H69" t="s">
        <v>680</v>
      </c>
      <c r="P69" t="s">
        <v>753</v>
      </c>
    </row>
    <row r="70" spans="2:17" x14ac:dyDescent="0.2">
      <c r="B70" t="s">
        <v>139</v>
      </c>
      <c r="E70" t="s">
        <v>322</v>
      </c>
      <c r="F70" t="s">
        <v>323</v>
      </c>
      <c r="G70" t="s">
        <v>5</v>
      </c>
      <c r="H70" t="s">
        <v>639</v>
      </c>
      <c r="O70" t="s">
        <v>755</v>
      </c>
    </row>
    <row r="71" spans="2:17" x14ac:dyDescent="0.2">
      <c r="B71" t="s">
        <v>141</v>
      </c>
      <c r="E71" t="s">
        <v>480</v>
      </c>
      <c r="F71" t="s">
        <v>481</v>
      </c>
      <c r="G71" t="s">
        <v>5</v>
      </c>
      <c r="H71" t="s">
        <v>734</v>
      </c>
    </row>
    <row r="72" spans="2:17" x14ac:dyDescent="0.2">
      <c r="B72" t="s">
        <v>143</v>
      </c>
      <c r="E72" t="s">
        <v>265</v>
      </c>
      <c r="F72" t="s">
        <v>266</v>
      </c>
      <c r="G72" t="s">
        <v>5</v>
      </c>
      <c r="H72" t="s">
        <v>844</v>
      </c>
    </row>
    <row r="73" spans="2:17" x14ac:dyDescent="0.2">
      <c r="B73" t="s">
        <v>145</v>
      </c>
      <c r="E73" t="s">
        <v>515</v>
      </c>
      <c r="F73" t="s">
        <v>516</v>
      </c>
      <c r="G73" t="s">
        <v>5</v>
      </c>
      <c r="H73" t="s">
        <v>673</v>
      </c>
      <c r="P73" t="s">
        <v>756</v>
      </c>
    </row>
    <row r="74" spans="2:17" x14ac:dyDescent="0.2">
      <c r="B74" t="s">
        <v>147</v>
      </c>
      <c r="E74" t="s">
        <v>189</v>
      </c>
      <c r="F74" t="s">
        <v>190</v>
      </c>
      <c r="G74" t="s">
        <v>5</v>
      </c>
      <c r="H74" t="s">
        <v>732</v>
      </c>
      <c r="O74" t="s">
        <v>724</v>
      </c>
    </row>
    <row r="75" spans="2:17" x14ac:dyDescent="0.2">
      <c r="B75" t="s">
        <v>149</v>
      </c>
      <c r="E75" t="s">
        <v>25</v>
      </c>
      <c r="F75" t="s">
        <v>26</v>
      </c>
      <c r="G75" t="s">
        <v>5</v>
      </c>
      <c r="H75" t="s">
        <v>650</v>
      </c>
      <c r="K75" t="s">
        <v>659</v>
      </c>
      <c r="O75" t="s">
        <v>660</v>
      </c>
    </row>
    <row r="76" spans="2:17" x14ac:dyDescent="0.2">
      <c r="B76" t="s">
        <v>151</v>
      </c>
      <c r="E76" t="s">
        <v>517</v>
      </c>
      <c r="F76" t="s">
        <v>518</v>
      </c>
      <c r="G76" t="s">
        <v>5</v>
      </c>
      <c r="H76" t="s">
        <v>688</v>
      </c>
      <c r="K76" t="s">
        <v>659</v>
      </c>
      <c r="O76" t="s">
        <v>660</v>
      </c>
    </row>
    <row r="77" spans="2:17" x14ac:dyDescent="0.2">
      <c r="B77" t="s">
        <v>153</v>
      </c>
      <c r="E77" t="s">
        <v>7</v>
      </c>
      <c r="F77" t="s">
        <v>8</v>
      </c>
      <c r="G77" t="s">
        <v>5</v>
      </c>
      <c r="H77" t="s">
        <v>644</v>
      </c>
      <c r="K77" t="s">
        <v>659</v>
      </c>
      <c r="O77" t="s">
        <v>660</v>
      </c>
    </row>
    <row r="78" spans="2:17" x14ac:dyDescent="0.2">
      <c r="B78" t="s">
        <v>155</v>
      </c>
      <c r="E78" t="s">
        <v>95</v>
      </c>
      <c r="F78" t="s">
        <v>96</v>
      </c>
      <c r="G78" t="s">
        <v>5</v>
      </c>
      <c r="H78" t="s">
        <v>654</v>
      </c>
      <c r="M78" t="s">
        <v>664</v>
      </c>
      <c r="O78" t="s">
        <v>762</v>
      </c>
      <c r="P78" t="s">
        <v>666</v>
      </c>
      <c r="Q78" t="s">
        <v>667</v>
      </c>
    </row>
    <row r="79" spans="2:17" x14ac:dyDescent="0.2">
      <c r="B79" t="s">
        <v>157</v>
      </c>
      <c r="E79" t="s">
        <v>69</v>
      </c>
      <c r="F79" t="s">
        <v>70</v>
      </c>
      <c r="G79" t="s">
        <v>5</v>
      </c>
      <c r="H79" t="s">
        <v>650</v>
      </c>
      <c r="M79" t="s">
        <v>664</v>
      </c>
      <c r="O79" t="s">
        <v>665</v>
      </c>
      <c r="P79" t="s">
        <v>666</v>
      </c>
      <c r="Q79" t="s">
        <v>667</v>
      </c>
    </row>
    <row r="80" spans="2:17" x14ac:dyDescent="0.2">
      <c r="B80" t="s">
        <v>159</v>
      </c>
      <c r="E80" t="s">
        <v>310</v>
      </c>
      <c r="F80" t="s">
        <v>311</v>
      </c>
      <c r="G80" t="s">
        <v>5</v>
      </c>
      <c r="H80" t="s">
        <v>733</v>
      </c>
      <c r="M80" t="s">
        <v>765</v>
      </c>
      <c r="O80" t="s">
        <v>766</v>
      </c>
      <c r="Q80" t="s">
        <v>767</v>
      </c>
    </row>
    <row r="81" spans="2:17" x14ac:dyDescent="0.2">
      <c r="B81" t="s">
        <v>161</v>
      </c>
      <c r="E81" t="s">
        <v>402</v>
      </c>
      <c r="F81" t="s">
        <v>403</v>
      </c>
      <c r="G81" t="s">
        <v>5</v>
      </c>
      <c r="H81" t="s">
        <v>673</v>
      </c>
      <c r="M81" t="s">
        <v>765</v>
      </c>
      <c r="O81" t="s">
        <v>766</v>
      </c>
      <c r="Q81" t="s">
        <v>767</v>
      </c>
    </row>
    <row r="82" spans="2:17" x14ac:dyDescent="0.2">
      <c r="B82" t="s">
        <v>163</v>
      </c>
      <c r="E82" t="s">
        <v>237</v>
      </c>
      <c r="F82" t="s">
        <v>238</v>
      </c>
      <c r="G82" t="s">
        <v>5</v>
      </c>
      <c r="H82" t="s">
        <v>693</v>
      </c>
      <c r="O82" t="s">
        <v>770</v>
      </c>
      <c r="P82" t="s">
        <v>771</v>
      </c>
    </row>
    <row r="83" spans="2:17" x14ac:dyDescent="0.2">
      <c r="B83" t="s">
        <v>165</v>
      </c>
      <c r="E83" t="s">
        <v>27</v>
      </c>
      <c r="F83" t="s">
        <v>28</v>
      </c>
      <c r="G83" t="s">
        <v>5</v>
      </c>
      <c r="H83" t="s">
        <v>655</v>
      </c>
      <c r="O83" t="s">
        <v>773</v>
      </c>
    </row>
    <row r="84" spans="2:17" x14ac:dyDescent="0.2">
      <c r="B84" t="s">
        <v>167</v>
      </c>
      <c r="E84" t="s">
        <v>527</v>
      </c>
      <c r="F84" t="s">
        <v>528</v>
      </c>
      <c r="G84" t="s">
        <v>5</v>
      </c>
      <c r="H84" t="s">
        <v>774</v>
      </c>
      <c r="O84" t="s">
        <v>773</v>
      </c>
    </row>
    <row r="85" spans="2:17" x14ac:dyDescent="0.2">
      <c r="B85" t="s">
        <v>169</v>
      </c>
      <c r="E85" t="s">
        <v>47</v>
      </c>
      <c r="F85" t="s">
        <v>48</v>
      </c>
      <c r="G85" t="s">
        <v>5</v>
      </c>
      <c r="H85" t="s">
        <v>648</v>
      </c>
      <c r="O85" t="s">
        <v>773</v>
      </c>
    </row>
    <row r="86" spans="2:17" x14ac:dyDescent="0.2">
      <c r="B86" t="s">
        <v>171</v>
      </c>
      <c r="E86" t="s">
        <v>303</v>
      </c>
      <c r="F86" t="s">
        <v>305</v>
      </c>
      <c r="G86" t="s">
        <v>5</v>
      </c>
      <c r="H86" t="s">
        <v>648</v>
      </c>
      <c r="M86" t="s">
        <v>777</v>
      </c>
      <c r="O86" t="s">
        <v>778</v>
      </c>
      <c r="Q86" t="s">
        <v>779</v>
      </c>
    </row>
    <row r="87" spans="2:17" x14ac:dyDescent="0.2">
      <c r="B87" t="s">
        <v>173</v>
      </c>
      <c r="E87" t="s">
        <v>464</v>
      </c>
      <c r="F87" t="s">
        <v>465</v>
      </c>
      <c r="G87" t="s">
        <v>5</v>
      </c>
      <c r="H87" t="s">
        <v>700</v>
      </c>
      <c r="M87" t="s">
        <v>781</v>
      </c>
      <c r="O87" t="s">
        <v>782</v>
      </c>
      <c r="Q87" t="s">
        <v>783</v>
      </c>
    </row>
    <row r="88" spans="2:17" x14ac:dyDescent="0.2">
      <c r="B88" t="s">
        <v>175</v>
      </c>
      <c r="E88" t="s">
        <v>454</v>
      </c>
      <c r="F88" t="s">
        <v>455</v>
      </c>
      <c r="G88" t="s">
        <v>5</v>
      </c>
      <c r="H88" t="s">
        <v>699</v>
      </c>
      <c r="M88" t="s">
        <v>781</v>
      </c>
      <c r="O88" t="s">
        <v>784</v>
      </c>
      <c r="Q88" t="s">
        <v>783</v>
      </c>
    </row>
    <row r="89" spans="2:17" x14ac:dyDescent="0.2">
      <c r="B89" t="s">
        <v>177</v>
      </c>
      <c r="E89" t="s">
        <v>611</v>
      </c>
      <c r="F89" t="s">
        <v>612</v>
      </c>
      <c r="G89" t="s">
        <v>5</v>
      </c>
      <c r="H89" t="s">
        <v>729</v>
      </c>
      <c r="M89" t="s">
        <v>785</v>
      </c>
      <c r="O89" t="s">
        <v>786</v>
      </c>
      <c r="Q89" t="s">
        <v>751</v>
      </c>
    </row>
    <row r="90" spans="2:17" x14ac:dyDescent="0.2">
      <c r="B90" t="s">
        <v>179</v>
      </c>
      <c r="E90" t="s">
        <v>59</v>
      </c>
      <c r="F90" t="s">
        <v>60</v>
      </c>
      <c r="G90" t="s">
        <v>5</v>
      </c>
      <c r="H90" t="s">
        <v>669</v>
      </c>
      <c r="M90" t="s">
        <v>785</v>
      </c>
      <c r="O90" t="s">
        <v>786</v>
      </c>
      <c r="Q90" t="s">
        <v>751</v>
      </c>
    </row>
    <row r="91" spans="2:17" x14ac:dyDescent="0.2">
      <c r="B91" t="s">
        <v>181</v>
      </c>
      <c r="E91" t="s">
        <v>87</v>
      </c>
      <c r="F91" t="s">
        <v>88</v>
      </c>
      <c r="G91" t="s">
        <v>5</v>
      </c>
      <c r="H91" t="s">
        <v>729</v>
      </c>
      <c r="M91" t="s">
        <v>785</v>
      </c>
      <c r="O91" t="s">
        <v>786</v>
      </c>
      <c r="Q91" t="s">
        <v>751</v>
      </c>
    </row>
    <row r="92" spans="2:17" x14ac:dyDescent="0.2">
      <c r="B92" t="s">
        <v>183</v>
      </c>
      <c r="E92" t="s">
        <v>436</v>
      </c>
      <c r="F92" t="s">
        <v>437</v>
      </c>
      <c r="G92" t="s">
        <v>5</v>
      </c>
      <c r="H92" t="s">
        <v>774</v>
      </c>
      <c r="M92" t="s">
        <v>785</v>
      </c>
      <c r="O92" t="s">
        <v>786</v>
      </c>
      <c r="Q92" t="s">
        <v>751</v>
      </c>
    </row>
    <row r="93" spans="2:17" x14ac:dyDescent="0.2">
      <c r="B93" t="s">
        <v>185</v>
      </c>
      <c r="E93" t="s">
        <v>155</v>
      </c>
      <c r="F93" t="s">
        <v>156</v>
      </c>
      <c r="G93" t="s">
        <v>5</v>
      </c>
      <c r="H93" t="s">
        <v>702</v>
      </c>
      <c r="M93" t="s">
        <v>785</v>
      </c>
      <c r="O93" t="s">
        <v>786</v>
      </c>
      <c r="Q93" t="s">
        <v>751</v>
      </c>
    </row>
    <row r="94" spans="2:17" x14ac:dyDescent="0.2">
      <c r="B94" t="s">
        <v>187</v>
      </c>
      <c r="E94" t="s">
        <v>107</v>
      </c>
      <c r="F94" t="s">
        <v>108</v>
      </c>
      <c r="G94" t="s">
        <v>5</v>
      </c>
      <c r="H94" t="s">
        <v>670</v>
      </c>
      <c r="O94" t="s">
        <v>791</v>
      </c>
      <c r="P94" t="s">
        <v>792</v>
      </c>
    </row>
    <row r="95" spans="2:17" x14ac:dyDescent="0.2">
      <c r="B95" t="s">
        <v>189</v>
      </c>
      <c r="E95" t="s">
        <v>23</v>
      </c>
      <c r="F95" t="s">
        <v>24</v>
      </c>
      <c r="G95" t="s">
        <v>5</v>
      </c>
      <c r="H95" t="s">
        <v>734</v>
      </c>
      <c r="O95" t="s">
        <v>791</v>
      </c>
      <c r="P95" t="s">
        <v>792</v>
      </c>
    </row>
    <row r="96" spans="2:17" x14ac:dyDescent="0.2">
      <c r="B96" t="s">
        <v>191</v>
      </c>
      <c r="E96" t="s">
        <v>157</v>
      </c>
      <c r="F96" t="s">
        <v>158</v>
      </c>
      <c r="G96" t="s">
        <v>5</v>
      </c>
      <c r="H96" t="s">
        <v>644</v>
      </c>
      <c r="O96" t="s">
        <v>791</v>
      </c>
      <c r="P96" t="s">
        <v>792</v>
      </c>
    </row>
    <row r="97" spans="2:16" x14ac:dyDescent="0.2">
      <c r="B97" t="s">
        <v>193</v>
      </c>
      <c r="E97" t="s">
        <v>119</v>
      </c>
      <c r="F97" t="s">
        <v>120</v>
      </c>
      <c r="G97" t="s">
        <v>5</v>
      </c>
      <c r="H97" t="s">
        <v>734</v>
      </c>
      <c r="O97" t="s">
        <v>796</v>
      </c>
    </row>
    <row r="98" spans="2:16" x14ac:dyDescent="0.2">
      <c r="B98" t="s">
        <v>195</v>
      </c>
      <c r="E98" t="s">
        <v>65</v>
      </c>
      <c r="F98" t="s">
        <v>66</v>
      </c>
      <c r="G98" t="s">
        <v>5</v>
      </c>
      <c r="H98" t="s">
        <v>648</v>
      </c>
      <c r="O98" t="s">
        <v>796</v>
      </c>
    </row>
    <row r="99" spans="2:16" x14ac:dyDescent="0.2">
      <c r="B99" t="s">
        <v>197</v>
      </c>
      <c r="E99" t="s">
        <v>574</v>
      </c>
      <c r="F99" t="s">
        <v>575</v>
      </c>
      <c r="G99" t="s">
        <v>5</v>
      </c>
      <c r="H99" t="s">
        <v>700</v>
      </c>
      <c r="K99" t="s">
        <v>681</v>
      </c>
      <c r="O99" t="s">
        <v>682</v>
      </c>
    </row>
    <row r="100" spans="2:16" x14ac:dyDescent="0.2">
      <c r="B100" t="s">
        <v>199</v>
      </c>
      <c r="E100" t="s">
        <v>430</v>
      </c>
      <c r="F100" t="s">
        <v>431</v>
      </c>
      <c r="G100" t="s">
        <v>5</v>
      </c>
      <c r="H100" t="s">
        <v>675</v>
      </c>
    </row>
    <row r="101" spans="2:16" x14ac:dyDescent="0.2">
      <c r="B101" t="s">
        <v>201</v>
      </c>
      <c r="E101" t="s">
        <v>205</v>
      </c>
      <c r="F101" t="s">
        <v>206</v>
      </c>
      <c r="G101" t="s">
        <v>5</v>
      </c>
      <c r="H101" t="s">
        <v>732</v>
      </c>
    </row>
    <row r="102" spans="2:16" x14ac:dyDescent="0.2">
      <c r="B102" t="s">
        <v>203</v>
      </c>
      <c r="E102" t="s">
        <v>33</v>
      </c>
      <c r="F102" t="s">
        <v>34</v>
      </c>
      <c r="G102" t="s">
        <v>5</v>
      </c>
      <c r="H102" t="s">
        <v>734</v>
      </c>
    </row>
    <row r="103" spans="2:16" x14ac:dyDescent="0.2">
      <c r="B103" t="s">
        <v>205</v>
      </c>
      <c r="E103" t="s">
        <v>392</v>
      </c>
      <c r="F103" t="s">
        <v>393</v>
      </c>
      <c r="G103" t="s">
        <v>5</v>
      </c>
      <c r="H103" t="s">
        <v>670</v>
      </c>
      <c r="O103" t="s">
        <v>801</v>
      </c>
    </row>
    <row r="104" spans="2:16" x14ac:dyDescent="0.2">
      <c r="B104" t="s">
        <v>207</v>
      </c>
      <c r="E104" t="s">
        <v>582</v>
      </c>
      <c r="F104" t="s">
        <v>583</v>
      </c>
      <c r="G104" t="s">
        <v>5</v>
      </c>
      <c r="H104" t="s">
        <v>650</v>
      </c>
      <c r="O104" t="s">
        <v>689</v>
      </c>
    </row>
    <row r="105" spans="2:16" x14ac:dyDescent="0.2">
      <c r="B105" t="s">
        <v>209</v>
      </c>
      <c r="E105" t="s">
        <v>193</v>
      </c>
      <c r="F105" t="s">
        <v>194</v>
      </c>
      <c r="G105" t="s">
        <v>5</v>
      </c>
      <c r="H105" t="s">
        <v>700</v>
      </c>
      <c r="O105" t="s">
        <v>689</v>
      </c>
    </row>
    <row r="106" spans="2:16" x14ac:dyDescent="0.2">
      <c r="B106" t="s">
        <v>211</v>
      </c>
      <c r="E106" t="s">
        <v>127</v>
      </c>
      <c r="F106" t="s">
        <v>128</v>
      </c>
      <c r="G106" t="s">
        <v>5</v>
      </c>
      <c r="H106" t="s">
        <v>652</v>
      </c>
      <c r="O106" t="s">
        <v>689</v>
      </c>
    </row>
    <row r="107" spans="2:16" x14ac:dyDescent="0.2">
      <c r="B107" t="s">
        <v>213</v>
      </c>
      <c r="E107" t="s">
        <v>342</v>
      </c>
      <c r="F107" t="s">
        <v>343</v>
      </c>
      <c r="G107" t="s">
        <v>5</v>
      </c>
      <c r="H107" t="s">
        <v>652</v>
      </c>
      <c r="O107" t="s">
        <v>689</v>
      </c>
    </row>
    <row r="108" spans="2:16" x14ac:dyDescent="0.2">
      <c r="B108" t="s">
        <v>215</v>
      </c>
      <c r="E108" t="s">
        <v>380</v>
      </c>
      <c r="F108" t="s">
        <v>381</v>
      </c>
      <c r="G108" t="s">
        <v>5</v>
      </c>
      <c r="H108" t="s">
        <v>729</v>
      </c>
      <c r="O108" t="s">
        <v>803</v>
      </c>
    </row>
    <row r="109" spans="2:16" x14ac:dyDescent="0.2">
      <c r="B109" t="s">
        <v>217</v>
      </c>
      <c r="E109" t="s">
        <v>31</v>
      </c>
      <c r="F109" t="s">
        <v>32</v>
      </c>
      <c r="G109" t="s">
        <v>5</v>
      </c>
      <c r="H109" t="s">
        <v>673</v>
      </c>
      <c r="O109" t="s">
        <v>805</v>
      </c>
      <c r="P109" t="s">
        <v>806</v>
      </c>
    </row>
    <row r="110" spans="2:16" x14ac:dyDescent="0.2">
      <c r="B110" t="s">
        <v>219</v>
      </c>
      <c r="E110" t="s">
        <v>79</v>
      </c>
      <c r="F110" t="s">
        <v>80</v>
      </c>
      <c r="G110" t="s">
        <v>5</v>
      </c>
      <c r="H110" t="s">
        <v>734</v>
      </c>
      <c r="O110" t="s">
        <v>808</v>
      </c>
      <c r="P110" t="s">
        <v>809</v>
      </c>
    </row>
    <row r="111" spans="2:16" x14ac:dyDescent="0.2">
      <c r="B111" t="s">
        <v>221</v>
      </c>
      <c r="E111" t="s">
        <v>231</v>
      </c>
      <c r="F111" t="s">
        <v>232</v>
      </c>
      <c r="G111" t="s">
        <v>5</v>
      </c>
      <c r="H111" t="s">
        <v>644</v>
      </c>
      <c r="O111" t="s">
        <v>808</v>
      </c>
      <c r="P111" t="s">
        <v>809</v>
      </c>
    </row>
    <row r="112" spans="2:16" x14ac:dyDescent="0.2">
      <c r="B112" t="s">
        <v>223</v>
      </c>
      <c r="E112" t="s">
        <v>476</v>
      </c>
      <c r="F112" t="s">
        <v>477</v>
      </c>
      <c r="G112" t="s">
        <v>5</v>
      </c>
      <c r="H112" t="s">
        <v>733</v>
      </c>
      <c r="O112" t="s">
        <v>805</v>
      </c>
      <c r="P112" t="s">
        <v>806</v>
      </c>
    </row>
    <row r="113" spans="2:16" x14ac:dyDescent="0.2">
      <c r="B113" t="s">
        <v>225</v>
      </c>
      <c r="E113" t="s">
        <v>617</v>
      </c>
      <c r="F113" t="s">
        <v>618</v>
      </c>
      <c r="G113" t="s">
        <v>5</v>
      </c>
      <c r="H113" t="s">
        <v>726</v>
      </c>
      <c r="O113" t="s">
        <v>811</v>
      </c>
      <c r="P113" t="s">
        <v>814</v>
      </c>
    </row>
    <row r="114" spans="2:16" x14ac:dyDescent="0.2">
      <c r="B114" t="s">
        <v>227</v>
      </c>
      <c r="E114" t="s">
        <v>9</v>
      </c>
      <c r="F114" t="s">
        <v>10</v>
      </c>
      <c r="G114" t="s">
        <v>5</v>
      </c>
      <c r="H114" t="s">
        <v>733</v>
      </c>
      <c r="O114" t="s">
        <v>811</v>
      </c>
      <c r="P114" t="s">
        <v>812</v>
      </c>
    </row>
    <row r="115" spans="2:16" x14ac:dyDescent="0.2">
      <c r="B115" t="s">
        <v>229</v>
      </c>
      <c r="E115" t="s">
        <v>223</v>
      </c>
      <c r="F115" t="s">
        <v>224</v>
      </c>
      <c r="G115" t="s">
        <v>5</v>
      </c>
      <c r="H115" t="s">
        <v>673</v>
      </c>
      <c r="O115" t="s">
        <v>811</v>
      </c>
      <c r="P115" t="s">
        <v>812</v>
      </c>
    </row>
    <row r="116" spans="2:16" x14ac:dyDescent="0.2">
      <c r="B116" t="s">
        <v>231</v>
      </c>
      <c r="E116" t="s">
        <v>486</v>
      </c>
      <c r="F116" t="s">
        <v>487</v>
      </c>
      <c r="G116" t="s">
        <v>5</v>
      </c>
      <c r="H116" t="s">
        <v>670</v>
      </c>
      <c r="O116" t="s">
        <v>811</v>
      </c>
      <c r="P116" t="s">
        <v>812</v>
      </c>
    </row>
    <row r="117" spans="2:16" x14ac:dyDescent="0.2">
      <c r="B117" t="s">
        <v>233</v>
      </c>
      <c r="E117" t="s">
        <v>173</v>
      </c>
      <c r="F117" t="s">
        <v>174</v>
      </c>
      <c r="G117" t="s">
        <v>5</v>
      </c>
      <c r="H117" t="s">
        <v>700</v>
      </c>
      <c r="O117" t="s">
        <v>811</v>
      </c>
      <c r="P117" t="s">
        <v>814</v>
      </c>
    </row>
    <row r="118" spans="2:16" x14ac:dyDescent="0.2">
      <c r="B118" t="s">
        <v>235</v>
      </c>
      <c r="E118" t="s">
        <v>255</v>
      </c>
      <c r="F118" t="s">
        <v>256</v>
      </c>
      <c r="G118" t="s">
        <v>5</v>
      </c>
      <c r="H118" t="s">
        <v>693</v>
      </c>
      <c r="O118" t="s">
        <v>811</v>
      </c>
      <c r="P118" t="s">
        <v>814</v>
      </c>
    </row>
    <row r="119" spans="2:16" x14ac:dyDescent="0.2">
      <c r="B119" t="s">
        <v>237</v>
      </c>
      <c r="E119" t="s">
        <v>336</v>
      </c>
      <c r="F119" t="s">
        <v>337</v>
      </c>
      <c r="G119" t="s">
        <v>5</v>
      </c>
      <c r="H119" t="s">
        <v>654</v>
      </c>
      <c r="O119" t="s">
        <v>811</v>
      </c>
      <c r="P119" t="s">
        <v>814</v>
      </c>
    </row>
    <row r="120" spans="2:16" x14ac:dyDescent="0.2">
      <c r="B120" t="s">
        <v>239</v>
      </c>
      <c r="E120" t="s">
        <v>111</v>
      </c>
      <c r="F120" t="s">
        <v>112</v>
      </c>
      <c r="G120" t="s">
        <v>5</v>
      </c>
      <c r="H120" t="s">
        <v>693</v>
      </c>
      <c r="O120" t="s">
        <v>811</v>
      </c>
      <c r="P120" t="s">
        <v>814</v>
      </c>
    </row>
    <row r="121" spans="2:16" x14ac:dyDescent="0.2">
      <c r="B121" t="s">
        <v>241</v>
      </c>
      <c r="E121" t="s">
        <v>550</v>
      </c>
      <c r="F121" t="s">
        <v>551</v>
      </c>
      <c r="G121" t="s">
        <v>5</v>
      </c>
      <c r="H121" t="s">
        <v>729</v>
      </c>
      <c r="O121" t="s">
        <v>811</v>
      </c>
      <c r="P121" t="s">
        <v>814</v>
      </c>
    </row>
    <row r="122" spans="2:16" x14ac:dyDescent="0.2">
      <c r="B122" t="s">
        <v>243</v>
      </c>
      <c r="E122" t="s">
        <v>404</v>
      </c>
      <c r="F122" t="s">
        <v>405</v>
      </c>
      <c r="G122" t="s">
        <v>5</v>
      </c>
      <c r="H122" t="s">
        <v>669</v>
      </c>
      <c r="O122" t="s">
        <v>811</v>
      </c>
      <c r="P122" t="s">
        <v>814</v>
      </c>
    </row>
    <row r="123" spans="2:16" x14ac:dyDescent="0.2">
      <c r="B123" t="s">
        <v>245</v>
      </c>
      <c r="E123" t="s">
        <v>595</v>
      </c>
      <c r="F123" t="s">
        <v>596</v>
      </c>
      <c r="G123" t="s">
        <v>5</v>
      </c>
      <c r="H123" t="s">
        <v>702</v>
      </c>
      <c r="O123" t="s">
        <v>811</v>
      </c>
      <c r="P123" t="s">
        <v>814</v>
      </c>
    </row>
    <row r="124" spans="2:16" x14ac:dyDescent="0.2">
      <c r="B124" t="s">
        <v>247</v>
      </c>
      <c r="E124" t="s">
        <v>11</v>
      </c>
      <c r="F124" t="s">
        <v>12</v>
      </c>
      <c r="G124" t="s">
        <v>5</v>
      </c>
      <c r="H124" t="s">
        <v>818</v>
      </c>
      <c r="O124" t="s">
        <v>811</v>
      </c>
      <c r="P124" t="s">
        <v>814</v>
      </c>
    </row>
    <row r="125" spans="2:16" x14ac:dyDescent="0.2">
      <c r="B125" t="s">
        <v>249</v>
      </c>
      <c r="E125" t="s">
        <v>39</v>
      </c>
      <c r="F125" t="s">
        <v>40</v>
      </c>
      <c r="G125" t="s">
        <v>5</v>
      </c>
      <c r="H125" t="s">
        <v>820</v>
      </c>
      <c r="O125" t="s">
        <v>811</v>
      </c>
      <c r="P125" t="s">
        <v>814</v>
      </c>
    </row>
    <row r="126" spans="2:16" x14ac:dyDescent="0.2">
      <c r="B126" t="s">
        <v>251</v>
      </c>
      <c r="E126" t="s">
        <v>410</v>
      </c>
      <c r="F126" t="s">
        <v>411</v>
      </c>
      <c r="G126" t="s">
        <v>5</v>
      </c>
      <c r="H126" t="s">
        <v>733</v>
      </c>
      <c r="O126" t="s">
        <v>811</v>
      </c>
      <c r="P126" t="s">
        <v>821</v>
      </c>
    </row>
    <row r="127" spans="2:16" x14ac:dyDescent="0.2">
      <c r="B127" t="s">
        <v>253</v>
      </c>
      <c r="E127" t="s">
        <v>239</v>
      </c>
      <c r="F127" t="s">
        <v>240</v>
      </c>
      <c r="G127" t="s">
        <v>5</v>
      </c>
      <c r="H127" t="s">
        <v>673</v>
      </c>
      <c r="O127" t="s">
        <v>811</v>
      </c>
      <c r="P127" t="s">
        <v>821</v>
      </c>
    </row>
    <row r="128" spans="2:16" x14ac:dyDescent="0.2">
      <c r="B128" t="s">
        <v>255</v>
      </c>
      <c r="E128" t="s">
        <v>177</v>
      </c>
      <c r="F128" t="s">
        <v>178</v>
      </c>
      <c r="G128" t="s">
        <v>5</v>
      </c>
      <c r="H128" t="s">
        <v>818</v>
      </c>
      <c r="O128" t="s">
        <v>811</v>
      </c>
      <c r="P128" t="s">
        <v>814</v>
      </c>
    </row>
    <row r="129" spans="2:16" x14ac:dyDescent="0.2">
      <c r="B129" t="s">
        <v>257</v>
      </c>
      <c r="E129" t="s">
        <v>83</v>
      </c>
      <c r="F129" t="s">
        <v>84</v>
      </c>
      <c r="G129" t="s">
        <v>5</v>
      </c>
      <c r="H129" t="s">
        <v>702</v>
      </c>
      <c r="O129" t="s">
        <v>811</v>
      </c>
      <c r="P129" t="s">
        <v>814</v>
      </c>
    </row>
    <row r="130" spans="2:16" x14ac:dyDescent="0.2">
      <c r="B130" t="s">
        <v>259</v>
      </c>
      <c r="E130" t="s">
        <v>29</v>
      </c>
      <c r="F130" t="s">
        <v>30</v>
      </c>
      <c r="G130" t="s">
        <v>5</v>
      </c>
      <c r="H130" t="s">
        <v>774</v>
      </c>
      <c r="O130" t="s">
        <v>811</v>
      </c>
      <c r="P130" t="s">
        <v>814</v>
      </c>
    </row>
    <row r="131" spans="2:16" x14ac:dyDescent="0.2">
      <c r="B131" t="s">
        <v>261</v>
      </c>
      <c r="E131" t="s">
        <v>75</v>
      </c>
      <c r="F131" t="s">
        <v>76</v>
      </c>
      <c r="G131" t="s">
        <v>5</v>
      </c>
      <c r="H131" t="s">
        <v>644</v>
      </c>
      <c r="O131" t="s">
        <v>811</v>
      </c>
      <c r="P131" t="s">
        <v>814</v>
      </c>
    </row>
    <row r="132" spans="2:16" x14ac:dyDescent="0.2">
      <c r="B132" t="s">
        <v>548</v>
      </c>
      <c r="E132" t="s">
        <v>299</v>
      </c>
      <c r="F132" t="s">
        <v>300</v>
      </c>
      <c r="G132" t="s">
        <v>5</v>
      </c>
      <c r="H132" t="s">
        <v>702</v>
      </c>
      <c r="K132" t="s">
        <v>825</v>
      </c>
      <c r="O132" t="s">
        <v>826</v>
      </c>
      <c r="P132" t="s">
        <v>750</v>
      </c>
    </row>
    <row r="133" spans="2:16" x14ac:dyDescent="0.2">
      <c r="B133" t="s">
        <v>271</v>
      </c>
      <c r="E133" t="s">
        <v>394</v>
      </c>
      <c r="F133" t="s">
        <v>395</v>
      </c>
      <c r="G133" t="s">
        <v>5</v>
      </c>
      <c r="H133" t="s">
        <v>774</v>
      </c>
      <c r="K133" t="s">
        <v>825</v>
      </c>
      <c r="O133" t="s">
        <v>826</v>
      </c>
      <c r="P133" t="s">
        <v>750</v>
      </c>
    </row>
    <row r="134" spans="2:16" x14ac:dyDescent="0.2">
      <c r="B134" t="s">
        <v>550</v>
      </c>
      <c r="E134" t="s">
        <v>125</v>
      </c>
      <c r="F134" t="s">
        <v>126</v>
      </c>
      <c r="G134" t="s">
        <v>5</v>
      </c>
      <c r="H134" t="s">
        <v>818</v>
      </c>
      <c r="K134" t="s">
        <v>825</v>
      </c>
      <c r="O134" t="s">
        <v>826</v>
      </c>
      <c r="P134" t="s">
        <v>750</v>
      </c>
    </row>
    <row r="135" spans="2:16" x14ac:dyDescent="0.2">
      <c r="B135" t="s">
        <v>273</v>
      </c>
      <c r="E135" t="s">
        <v>135</v>
      </c>
      <c r="F135" t="s">
        <v>136</v>
      </c>
      <c r="G135" t="s">
        <v>5</v>
      </c>
      <c r="H135" t="s">
        <v>820</v>
      </c>
      <c r="K135" t="s">
        <v>825</v>
      </c>
      <c r="O135" t="s">
        <v>826</v>
      </c>
      <c r="P135" t="s">
        <v>750</v>
      </c>
    </row>
    <row r="136" spans="2:16" x14ac:dyDescent="0.2">
      <c r="B136" t="s">
        <v>552</v>
      </c>
      <c r="E136" t="s">
        <v>458</v>
      </c>
      <c r="F136" t="s">
        <v>459</v>
      </c>
      <c r="G136" t="s">
        <v>5</v>
      </c>
      <c r="H136" t="s">
        <v>733</v>
      </c>
      <c r="O136" t="s">
        <v>828</v>
      </c>
    </row>
    <row r="137" spans="2:16" x14ac:dyDescent="0.2">
      <c r="B137" t="s">
        <v>283</v>
      </c>
      <c r="E137" t="s">
        <v>422</v>
      </c>
      <c r="F137" t="s">
        <v>423</v>
      </c>
      <c r="G137" t="s">
        <v>5</v>
      </c>
      <c r="H137" t="s">
        <v>1077</v>
      </c>
      <c r="O137" t="s">
        <v>828</v>
      </c>
    </row>
    <row r="138" spans="2:16" x14ac:dyDescent="0.2">
      <c r="B138" t="s">
        <v>285</v>
      </c>
      <c r="E138" t="s">
        <v>301</v>
      </c>
      <c r="F138" t="s">
        <v>302</v>
      </c>
      <c r="G138" t="s">
        <v>5</v>
      </c>
      <c r="H138" t="s">
        <v>673</v>
      </c>
      <c r="O138" t="s">
        <v>828</v>
      </c>
    </row>
    <row r="139" spans="2:16" x14ac:dyDescent="0.2">
      <c r="B139" t="s">
        <v>289</v>
      </c>
      <c r="E139" t="s">
        <v>382</v>
      </c>
      <c r="F139" t="s">
        <v>383</v>
      </c>
      <c r="G139" t="s">
        <v>5</v>
      </c>
      <c r="H139" t="s">
        <v>693</v>
      </c>
      <c r="P139" t="s">
        <v>830</v>
      </c>
    </row>
    <row r="140" spans="2:16" x14ac:dyDescent="0.2">
      <c r="B140" t="s">
        <v>293</v>
      </c>
      <c r="E140" t="s">
        <v>145</v>
      </c>
      <c r="F140" t="s">
        <v>146</v>
      </c>
      <c r="G140" t="s">
        <v>5</v>
      </c>
      <c r="H140" t="s">
        <v>700</v>
      </c>
      <c r="P140" t="s">
        <v>830</v>
      </c>
    </row>
    <row r="141" spans="2:16" x14ac:dyDescent="0.2">
      <c r="B141" t="s">
        <v>295</v>
      </c>
      <c r="E141" t="s">
        <v>51</v>
      </c>
      <c r="F141" t="s">
        <v>52</v>
      </c>
      <c r="G141" t="s">
        <v>5</v>
      </c>
      <c r="H141" t="s">
        <v>732</v>
      </c>
      <c r="P141" t="s">
        <v>830</v>
      </c>
    </row>
    <row r="142" spans="2:16" x14ac:dyDescent="0.2">
      <c r="B142" t="s">
        <v>554</v>
      </c>
      <c r="E142" t="s">
        <v>55</v>
      </c>
      <c r="F142" t="s">
        <v>56</v>
      </c>
      <c r="G142" t="s">
        <v>5</v>
      </c>
      <c r="H142" t="s">
        <v>733</v>
      </c>
      <c r="P142" t="s">
        <v>830</v>
      </c>
    </row>
    <row r="143" spans="2:16" x14ac:dyDescent="0.2">
      <c r="B143" t="s">
        <v>301</v>
      </c>
      <c r="E143" t="s">
        <v>354</v>
      </c>
      <c r="F143" t="s">
        <v>355</v>
      </c>
      <c r="G143" t="s">
        <v>5</v>
      </c>
      <c r="H143" t="s">
        <v>654</v>
      </c>
    </row>
    <row r="144" spans="2:16" x14ac:dyDescent="0.2">
      <c r="B144" t="s">
        <v>303</v>
      </c>
      <c r="E144" t="s">
        <v>43</v>
      </c>
      <c r="F144" t="s">
        <v>44</v>
      </c>
      <c r="G144" t="s">
        <v>5</v>
      </c>
      <c r="H144" t="s">
        <v>669</v>
      </c>
      <c r="K144" t="s">
        <v>835</v>
      </c>
      <c r="P144" t="s">
        <v>836</v>
      </c>
    </row>
    <row r="145" spans="2:16" x14ac:dyDescent="0.2">
      <c r="B145" t="s">
        <v>310</v>
      </c>
      <c r="E145" t="s">
        <v>490</v>
      </c>
      <c r="F145" t="s">
        <v>491</v>
      </c>
      <c r="G145" t="s">
        <v>5</v>
      </c>
      <c r="H145" t="s">
        <v>639</v>
      </c>
      <c r="K145" t="s">
        <v>835</v>
      </c>
      <c r="P145" t="s">
        <v>750</v>
      </c>
    </row>
    <row r="146" spans="2:16" x14ac:dyDescent="0.2">
      <c r="B146" t="s">
        <v>312</v>
      </c>
      <c r="E146" t="s">
        <v>213</v>
      </c>
      <c r="F146" t="s">
        <v>214</v>
      </c>
      <c r="G146" t="s">
        <v>5</v>
      </c>
      <c r="H146" t="s">
        <v>639</v>
      </c>
      <c r="K146" t="s">
        <v>835</v>
      </c>
      <c r="P146" t="s">
        <v>750</v>
      </c>
    </row>
    <row r="147" spans="2:16" x14ac:dyDescent="0.2">
      <c r="B147" t="s">
        <v>556</v>
      </c>
      <c r="E147" t="s">
        <v>267</v>
      </c>
      <c r="F147" t="s">
        <v>268</v>
      </c>
      <c r="G147" t="s">
        <v>5</v>
      </c>
      <c r="H147" t="s">
        <v>714</v>
      </c>
      <c r="K147" t="s">
        <v>835</v>
      </c>
      <c r="P147" t="s">
        <v>750</v>
      </c>
    </row>
    <row r="148" spans="2:16" x14ac:dyDescent="0.2">
      <c r="B148" t="s">
        <v>558</v>
      </c>
      <c r="E148" t="s">
        <v>531</v>
      </c>
      <c r="F148" t="s">
        <v>532</v>
      </c>
      <c r="G148" t="s">
        <v>5</v>
      </c>
      <c r="H148" t="s">
        <v>655</v>
      </c>
    </row>
    <row r="149" spans="2:16" x14ac:dyDescent="0.2">
      <c r="B149" t="s">
        <v>320</v>
      </c>
      <c r="E149" t="s">
        <v>257</v>
      </c>
      <c r="F149" t="s">
        <v>258</v>
      </c>
      <c r="G149" t="s">
        <v>5</v>
      </c>
      <c r="H149" t="s">
        <v>729</v>
      </c>
    </row>
    <row r="150" spans="2:16" x14ac:dyDescent="0.2">
      <c r="B150" t="s">
        <v>322</v>
      </c>
      <c r="E150" t="s">
        <v>275</v>
      </c>
      <c r="F150" t="s">
        <v>276</v>
      </c>
      <c r="G150" t="s">
        <v>5</v>
      </c>
      <c r="H150" t="s">
        <v>652</v>
      </c>
    </row>
    <row r="151" spans="2:16" x14ac:dyDescent="0.2">
      <c r="B151" t="s">
        <v>324</v>
      </c>
      <c r="E151" t="s">
        <v>539</v>
      </c>
      <c r="F151" t="s">
        <v>540</v>
      </c>
      <c r="G151" t="s">
        <v>5</v>
      </c>
      <c r="H151" t="s">
        <v>648</v>
      </c>
    </row>
    <row r="152" spans="2:16" x14ac:dyDescent="0.2">
      <c r="B152" t="s">
        <v>326</v>
      </c>
      <c r="E152" t="s">
        <v>360</v>
      </c>
      <c r="F152" t="s">
        <v>361</v>
      </c>
      <c r="G152" t="s">
        <v>5</v>
      </c>
      <c r="H152" t="s">
        <v>734</v>
      </c>
    </row>
    <row r="153" spans="2:16" x14ac:dyDescent="0.2">
      <c r="B153" t="s">
        <v>332</v>
      </c>
      <c r="E153" t="s">
        <v>374</v>
      </c>
      <c r="F153" t="s">
        <v>375</v>
      </c>
      <c r="G153" t="s">
        <v>5</v>
      </c>
      <c r="H153" t="s">
        <v>644</v>
      </c>
    </row>
    <row r="154" spans="2:16" x14ac:dyDescent="0.2">
      <c r="B154" t="s">
        <v>334</v>
      </c>
      <c r="E154" t="s">
        <v>15</v>
      </c>
      <c r="F154" t="s">
        <v>16</v>
      </c>
      <c r="G154" t="s">
        <v>5</v>
      </c>
      <c r="H154" t="s">
        <v>700</v>
      </c>
      <c r="K154" t="s">
        <v>839</v>
      </c>
      <c r="L154" t="s">
        <v>840</v>
      </c>
      <c r="O154" t="s">
        <v>841</v>
      </c>
      <c r="P154" t="s">
        <v>842</v>
      </c>
    </row>
    <row r="155" spans="2:16" x14ac:dyDescent="0.2">
      <c r="B155" t="s">
        <v>338</v>
      </c>
      <c r="E155" t="s">
        <v>328</v>
      </c>
      <c r="F155" t="s">
        <v>329</v>
      </c>
      <c r="G155" t="s">
        <v>5</v>
      </c>
      <c r="H155" t="s">
        <v>680</v>
      </c>
      <c r="K155" t="s">
        <v>839</v>
      </c>
      <c r="L155" t="s">
        <v>840</v>
      </c>
      <c r="O155" t="s">
        <v>841</v>
      </c>
      <c r="P155" t="s">
        <v>842</v>
      </c>
    </row>
    <row r="156" spans="2:16" x14ac:dyDescent="0.2">
      <c r="B156" t="s">
        <v>340</v>
      </c>
      <c r="E156" t="s">
        <v>245</v>
      </c>
      <c r="F156" t="s">
        <v>246</v>
      </c>
      <c r="G156" t="s">
        <v>5</v>
      </c>
      <c r="H156" t="s">
        <v>702</v>
      </c>
      <c r="K156" t="s">
        <v>839</v>
      </c>
      <c r="O156" t="s">
        <v>841</v>
      </c>
      <c r="P156" t="s">
        <v>842</v>
      </c>
    </row>
    <row r="157" spans="2:16" x14ac:dyDescent="0.2">
      <c r="B157" t="s">
        <v>344</v>
      </c>
      <c r="E157" t="s">
        <v>167</v>
      </c>
      <c r="F157" t="s">
        <v>168</v>
      </c>
      <c r="G157" t="s">
        <v>5</v>
      </c>
      <c r="H157" t="s">
        <v>655</v>
      </c>
      <c r="K157" t="s">
        <v>839</v>
      </c>
      <c r="O157" t="s">
        <v>841</v>
      </c>
      <c r="P157" t="s">
        <v>842</v>
      </c>
    </row>
    <row r="158" spans="2:16" x14ac:dyDescent="0.2">
      <c r="B158" t="s">
        <v>346</v>
      </c>
      <c r="E158" t="s">
        <v>499</v>
      </c>
      <c r="F158" t="s">
        <v>500</v>
      </c>
      <c r="G158" t="s">
        <v>5</v>
      </c>
      <c r="H158" t="s">
        <v>844</v>
      </c>
    </row>
    <row r="159" spans="2:16" x14ac:dyDescent="0.2">
      <c r="B159" t="s">
        <v>348</v>
      </c>
      <c r="E159" t="s">
        <v>139</v>
      </c>
      <c r="F159" t="s">
        <v>140</v>
      </c>
      <c r="G159" t="s">
        <v>5</v>
      </c>
      <c r="H159" t="s">
        <v>774</v>
      </c>
      <c r="I159" t="s">
        <v>846</v>
      </c>
      <c r="O159" t="s">
        <v>847</v>
      </c>
      <c r="P159" t="s">
        <v>848</v>
      </c>
    </row>
    <row r="160" spans="2:16" x14ac:dyDescent="0.2">
      <c r="B160" t="s">
        <v>350</v>
      </c>
      <c r="E160" t="s">
        <v>41</v>
      </c>
      <c r="F160" t="s">
        <v>42</v>
      </c>
      <c r="G160" t="s">
        <v>5</v>
      </c>
      <c r="H160" t="s">
        <v>648</v>
      </c>
      <c r="O160" t="s">
        <v>847</v>
      </c>
      <c r="P160" t="s">
        <v>848</v>
      </c>
    </row>
    <row r="161" spans="2:16" x14ac:dyDescent="0.2">
      <c r="B161" t="s">
        <v>352</v>
      </c>
      <c r="E161" t="s">
        <v>13</v>
      </c>
      <c r="F161" t="s">
        <v>14</v>
      </c>
      <c r="G161" t="s">
        <v>5</v>
      </c>
      <c r="H161" t="s">
        <v>734</v>
      </c>
    </row>
    <row r="162" spans="2:16" x14ac:dyDescent="0.2">
      <c r="B162" t="s">
        <v>356</v>
      </c>
      <c r="E162" t="s">
        <v>548</v>
      </c>
      <c r="F162" t="s">
        <v>549</v>
      </c>
      <c r="G162" t="s">
        <v>5</v>
      </c>
      <c r="H162" t="s">
        <v>726</v>
      </c>
      <c r="P162" t="s">
        <v>814</v>
      </c>
    </row>
    <row r="163" spans="2:16" x14ac:dyDescent="0.2">
      <c r="B163" t="s">
        <v>360</v>
      </c>
      <c r="E163" t="s">
        <v>109</v>
      </c>
      <c r="F163" t="s">
        <v>110</v>
      </c>
      <c r="G163" t="s">
        <v>5</v>
      </c>
      <c r="H163" t="s">
        <v>702</v>
      </c>
      <c r="O163" t="s">
        <v>851</v>
      </c>
      <c r="P163" t="s">
        <v>814</v>
      </c>
    </row>
    <row r="164" spans="2:16" x14ac:dyDescent="0.2">
      <c r="B164" t="s">
        <v>362</v>
      </c>
      <c r="E164" t="s">
        <v>623</v>
      </c>
      <c r="F164" t="s">
        <v>624</v>
      </c>
      <c r="G164" t="s">
        <v>5</v>
      </c>
      <c r="H164" t="s">
        <v>844</v>
      </c>
      <c r="P164" t="s">
        <v>814</v>
      </c>
    </row>
    <row r="165" spans="2:16" x14ac:dyDescent="0.2">
      <c r="B165" t="s">
        <v>560</v>
      </c>
      <c r="E165" t="s">
        <v>314</v>
      </c>
      <c r="F165" t="s">
        <v>315</v>
      </c>
      <c r="G165" t="s">
        <v>5</v>
      </c>
      <c r="H165" t="s">
        <v>650</v>
      </c>
      <c r="O165" t="s">
        <v>851</v>
      </c>
      <c r="P165" t="s">
        <v>814</v>
      </c>
    </row>
    <row r="166" spans="2:16" x14ac:dyDescent="0.2">
      <c r="B166" t="s">
        <v>364</v>
      </c>
      <c r="E166" t="s">
        <v>308</v>
      </c>
      <c r="F166" t="s">
        <v>309</v>
      </c>
      <c r="G166" t="s">
        <v>5</v>
      </c>
      <c r="H166" t="s">
        <v>669</v>
      </c>
      <c r="O166" t="s">
        <v>852</v>
      </c>
      <c r="P166" t="s">
        <v>853</v>
      </c>
    </row>
    <row r="167" spans="2:16" x14ac:dyDescent="0.2">
      <c r="B167" t="s">
        <v>370</v>
      </c>
      <c r="E167" t="s">
        <v>511</v>
      </c>
      <c r="F167" t="s">
        <v>512</v>
      </c>
      <c r="G167" t="s">
        <v>5</v>
      </c>
      <c r="H167" t="s">
        <v>726</v>
      </c>
      <c r="O167" t="s">
        <v>855</v>
      </c>
      <c r="P167" t="s">
        <v>856</v>
      </c>
    </row>
    <row r="168" spans="2:16" x14ac:dyDescent="0.2">
      <c r="B168" t="s">
        <v>374</v>
      </c>
      <c r="E168" t="s">
        <v>73</v>
      </c>
      <c r="F168" t="s">
        <v>74</v>
      </c>
      <c r="G168" t="s">
        <v>5</v>
      </c>
      <c r="H168" t="s">
        <v>688</v>
      </c>
      <c r="K168" t="s">
        <v>857</v>
      </c>
      <c r="L168" t="s">
        <v>858</v>
      </c>
      <c r="O168" t="s">
        <v>859</v>
      </c>
    </row>
    <row r="169" spans="2:16" x14ac:dyDescent="0.2">
      <c r="B169" t="s">
        <v>376</v>
      </c>
      <c r="E169" t="s">
        <v>384</v>
      </c>
      <c r="F169" t="s">
        <v>385</v>
      </c>
      <c r="G169" t="s">
        <v>5</v>
      </c>
      <c r="H169" t="s">
        <v>655</v>
      </c>
    </row>
    <row r="170" spans="2:16" x14ac:dyDescent="0.2">
      <c r="B170" t="s">
        <v>378</v>
      </c>
      <c r="E170" t="s">
        <v>398</v>
      </c>
      <c r="F170" t="s">
        <v>399</v>
      </c>
      <c r="G170" t="s">
        <v>5</v>
      </c>
      <c r="H170" t="s">
        <v>702</v>
      </c>
    </row>
    <row r="171" spans="2:16" x14ac:dyDescent="0.2">
      <c r="B171" t="s">
        <v>380</v>
      </c>
      <c r="E171" t="s">
        <v>324</v>
      </c>
      <c r="F171" t="s">
        <v>325</v>
      </c>
      <c r="G171" t="s">
        <v>5</v>
      </c>
      <c r="H171" t="s">
        <v>726</v>
      </c>
      <c r="K171" t="s">
        <v>861</v>
      </c>
      <c r="O171" t="s">
        <v>862</v>
      </c>
    </row>
    <row r="172" spans="2:16" x14ac:dyDescent="0.2">
      <c r="B172" t="s">
        <v>386</v>
      </c>
      <c r="E172" t="s">
        <v>53</v>
      </c>
      <c r="F172" t="s">
        <v>54</v>
      </c>
      <c r="G172" t="s">
        <v>5</v>
      </c>
      <c r="H172" t="s">
        <v>726</v>
      </c>
      <c r="J172" t="s">
        <v>720</v>
      </c>
      <c r="K172" t="s">
        <v>721</v>
      </c>
      <c r="L172" t="s">
        <v>722</v>
      </c>
      <c r="O172" t="s">
        <v>864</v>
      </c>
      <c r="P172" t="s">
        <v>865</v>
      </c>
    </row>
    <row r="173" spans="2:16" x14ac:dyDescent="0.2">
      <c r="B173" t="s">
        <v>562</v>
      </c>
      <c r="E173" t="s">
        <v>519</v>
      </c>
      <c r="F173" t="s">
        <v>520</v>
      </c>
      <c r="G173" t="s">
        <v>5</v>
      </c>
      <c r="H173" t="s">
        <v>866</v>
      </c>
      <c r="L173" t="s">
        <v>858</v>
      </c>
      <c r="O173" t="s">
        <v>867</v>
      </c>
    </row>
    <row r="174" spans="2:16" x14ac:dyDescent="0.2">
      <c r="B174" t="s">
        <v>392</v>
      </c>
      <c r="E174" t="s">
        <v>601</v>
      </c>
      <c r="F174" t="s">
        <v>602</v>
      </c>
      <c r="G174" t="s">
        <v>5</v>
      </c>
      <c r="H174" t="s">
        <v>700</v>
      </c>
      <c r="J174" t="s">
        <v>720</v>
      </c>
      <c r="K174" t="s">
        <v>721</v>
      </c>
      <c r="L174" t="s">
        <v>722</v>
      </c>
      <c r="O174" t="s">
        <v>723</v>
      </c>
    </row>
    <row r="175" spans="2:16" x14ac:dyDescent="0.2">
      <c r="B175" t="s">
        <v>394</v>
      </c>
      <c r="E175" t="s">
        <v>283</v>
      </c>
      <c r="F175" t="s">
        <v>284</v>
      </c>
      <c r="G175" t="s">
        <v>5</v>
      </c>
      <c r="H175" t="s">
        <v>680</v>
      </c>
      <c r="K175" t="s">
        <v>681</v>
      </c>
      <c r="P175" t="s">
        <v>869</v>
      </c>
    </row>
    <row r="176" spans="2:16" x14ac:dyDescent="0.2">
      <c r="B176" t="s">
        <v>402</v>
      </c>
      <c r="E176" t="s">
        <v>129</v>
      </c>
      <c r="F176" t="s">
        <v>130</v>
      </c>
      <c r="G176" t="s">
        <v>5</v>
      </c>
      <c r="H176" t="s">
        <v>655</v>
      </c>
      <c r="K176" t="s">
        <v>681</v>
      </c>
      <c r="O176" t="s">
        <v>682</v>
      </c>
    </row>
    <row r="177" spans="2:16" x14ac:dyDescent="0.2">
      <c r="B177" t="s">
        <v>564</v>
      </c>
      <c r="E177" t="s">
        <v>492</v>
      </c>
      <c r="F177" t="s">
        <v>493</v>
      </c>
      <c r="G177" t="s">
        <v>5</v>
      </c>
      <c r="H177" t="s">
        <v>699</v>
      </c>
      <c r="K177" t="s">
        <v>681</v>
      </c>
      <c r="O177" t="s">
        <v>682</v>
      </c>
    </row>
    <row r="178" spans="2:16" x14ac:dyDescent="0.2">
      <c r="B178" t="s">
        <v>566</v>
      </c>
      <c r="E178" t="s">
        <v>201</v>
      </c>
      <c r="F178" t="s">
        <v>202</v>
      </c>
      <c r="G178" t="s">
        <v>5</v>
      </c>
      <c r="H178" t="s">
        <v>866</v>
      </c>
    </row>
    <row r="179" spans="2:16" x14ac:dyDescent="0.2">
      <c r="B179" t="s">
        <v>414</v>
      </c>
      <c r="E179" t="s">
        <v>370</v>
      </c>
      <c r="F179" t="s">
        <v>371</v>
      </c>
      <c r="G179" t="s">
        <v>5</v>
      </c>
      <c r="H179" t="s">
        <v>639</v>
      </c>
      <c r="K179" t="s">
        <v>874</v>
      </c>
      <c r="L179" t="s">
        <v>858</v>
      </c>
      <c r="M179" t="s">
        <v>875</v>
      </c>
      <c r="O179" t="s">
        <v>876</v>
      </c>
      <c r="P179" t="s">
        <v>877</v>
      </c>
    </row>
    <row r="180" spans="2:16" x14ac:dyDescent="0.2">
      <c r="B180" t="s">
        <v>420</v>
      </c>
      <c r="E180" t="s">
        <v>113</v>
      </c>
      <c r="F180" t="s">
        <v>114</v>
      </c>
      <c r="G180" t="s">
        <v>5</v>
      </c>
      <c r="H180" t="s">
        <v>654</v>
      </c>
      <c r="K180" t="s">
        <v>857</v>
      </c>
      <c r="L180" t="s">
        <v>858</v>
      </c>
      <c r="O180" t="s">
        <v>859</v>
      </c>
    </row>
    <row r="181" spans="2:16" x14ac:dyDescent="0.2">
      <c r="B181" t="s">
        <v>568</v>
      </c>
      <c r="E181" t="s">
        <v>71</v>
      </c>
      <c r="F181" t="s">
        <v>72</v>
      </c>
      <c r="G181" t="s">
        <v>5</v>
      </c>
      <c r="H181" t="s">
        <v>729</v>
      </c>
      <c r="K181" t="s">
        <v>857</v>
      </c>
      <c r="L181" t="s">
        <v>858</v>
      </c>
      <c r="O181" t="s">
        <v>859</v>
      </c>
    </row>
    <row r="182" spans="2:16" x14ac:dyDescent="0.2">
      <c r="B182" t="s">
        <v>426</v>
      </c>
      <c r="E182" t="s">
        <v>169</v>
      </c>
      <c r="F182" t="s">
        <v>170</v>
      </c>
      <c r="G182" t="s">
        <v>5</v>
      </c>
      <c r="H182" t="s">
        <v>639</v>
      </c>
      <c r="K182" t="s">
        <v>857</v>
      </c>
      <c r="L182" t="s">
        <v>858</v>
      </c>
      <c r="O182" t="s">
        <v>859</v>
      </c>
    </row>
    <row r="183" spans="2:16" x14ac:dyDescent="0.2">
      <c r="B183" t="s">
        <v>428</v>
      </c>
      <c r="E183" t="s">
        <v>159</v>
      </c>
      <c r="F183" t="s">
        <v>160</v>
      </c>
      <c r="G183" t="s">
        <v>5</v>
      </c>
      <c r="H183" t="s">
        <v>675</v>
      </c>
      <c r="K183" t="s">
        <v>857</v>
      </c>
      <c r="L183" t="s">
        <v>858</v>
      </c>
      <c r="O183" t="s">
        <v>859</v>
      </c>
    </row>
    <row r="184" spans="2:16" x14ac:dyDescent="0.2">
      <c r="B184" t="s">
        <v>430</v>
      </c>
      <c r="E184" t="s">
        <v>509</v>
      </c>
      <c r="F184" t="s">
        <v>510</v>
      </c>
      <c r="G184" t="s">
        <v>5</v>
      </c>
      <c r="H184" t="s">
        <v>654</v>
      </c>
      <c r="K184" t="s">
        <v>874</v>
      </c>
      <c r="L184" t="s">
        <v>858</v>
      </c>
      <c r="M184" t="s">
        <v>875</v>
      </c>
      <c r="O184" t="s">
        <v>876</v>
      </c>
      <c r="P184" t="s">
        <v>877</v>
      </c>
    </row>
    <row r="185" spans="2:16" x14ac:dyDescent="0.2">
      <c r="B185" t="s">
        <v>434</v>
      </c>
      <c r="E185" t="s">
        <v>137</v>
      </c>
      <c r="F185" t="s">
        <v>138</v>
      </c>
      <c r="G185" t="s">
        <v>5</v>
      </c>
      <c r="H185" t="s">
        <v>652</v>
      </c>
      <c r="K185" t="s">
        <v>874</v>
      </c>
      <c r="L185" t="s">
        <v>858</v>
      </c>
      <c r="M185" t="s">
        <v>875</v>
      </c>
      <c r="O185" t="s">
        <v>876</v>
      </c>
      <c r="P185" t="s">
        <v>877</v>
      </c>
    </row>
    <row r="186" spans="2:16" x14ac:dyDescent="0.2">
      <c r="B186" t="s">
        <v>440</v>
      </c>
      <c r="E186" t="s">
        <v>281</v>
      </c>
      <c r="F186" t="s">
        <v>282</v>
      </c>
      <c r="G186" t="s">
        <v>5</v>
      </c>
      <c r="H186" t="s">
        <v>714</v>
      </c>
      <c r="K186" t="s">
        <v>874</v>
      </c>
      <c r="L186" t="s">
        <v>858</v>
      </c>
      <c r="M186" t="s">
        <v>875</v>
      </c>
      <c r="O186" t="s">
        <v>876</v>
      </c>
      <c r="P186" t="s">
        <v>877</v>
      </c>
    </row>
    <row r="187" spans="2:16" x14ac:dyDescent="0.2">
      <c r="B187" t="s">
        <v>442</v>
      </c>
      <c r="E187" t="s">
        <v>438</v>
      </c>
      <c r="F187" t="s">
        <v>439</v>
      </c>
      <c r="G187" t="s">
        <v>5</v>
      </c>
      <c r="H187" t="s">
        <v>650</v>
      </c>
      <c r="O187" t="s">
        <v>882</v>
      </c>
    </row>
    <row r="188" spans="2:16" x14ac:dyDescent="0.2">
      <c r="B188" t="s">
        <v>446</v>
      </c>
      <c r="E188" t="s">
        <v>364</v>
      </c>
      <c r="F188" t="s">
        <v>365</v>
      </c>
      <c r="G188" t="s">
        <v>5</v>
      </c>
      <c r="H188" t="s">
        <v>844</v>
      </c>
      <c r="O188" t="s">
        <v>882</v>
      </c>
    </row>
    <row r="189" spans="2:16" x14ac:dyDescent="0.2">
      <c r="B189" t="s">
        <v>448</v>
      </c>
      <c r="E189" t="s">
        <v>115</v>
      </c>
      <c r="F189" t="s">
        <v>116</v>
      </c>
      <c r="G189" t="s">
        <v>5</v>
      </c>
      <c r="H189" t="s">
        <v>699</v>
      </c>
      <c r="O189" t="s">
        <v>882</v>
      </c>
    </row>
    <row r="190" spans="2:16" x14ac:dyDescent="0.2">
      <c r="B190" t="s">
        <v>570</v>
      </c>
      <c r="E190" t="s">
        <v>297</v>
      </c>
      <c r="F190" t="s">
        <v>298</v>
      </c>
      <c r="G190" t="s">
        <v>5</v>
      </c>
      <c r="H190" t="s">
        <v>700</v>
      </c>
      <c r="O190" t="s">
        <v>882</v>
      </c>
    </row>
    <row r="191" spans="2:16" x14ac:dyDescent="0.2">
      <c r="B191" t="s">
        <v>452</v>
      </c>
      <c r="E191" t="s">
        <v>269</v>
      </c>
      <c r="F191" t="s">
        <v>270</v>
      </c>
      <c r="G191" t="s">
        <v>5</v>
      </c>
      <c r="H191" t="s">
        <v>655</v>
      </c>
      <c r="O191" t="s">
        <v>882</v>
      </c>
    </row>
    <row r="192" spans="2:16" x14ac:dyDescent="0.2">
      <c r="B192" t="s">
        <v>454</v>
      </c>
      <c r="E192" t="s">
        <v>388</v>
      </c>
      <c r="F192" t="s">
        <v>389</v>
      </c>
      <c r="G192" t="s">
        <v>5</v>
      </c>
      <c r="H192" t="s">
        <v>680</v>
      </c>
      <c r="O192" t="s">
        <v>882</v>
      </c>
    </row>
    <row r="193" spans="2:16" x14ac:dyDescent="0.2">
      <c r="B193" t="s">
        <v>456</v>
      </c>
      <c r="E193" t="s">
        <v>77</v>
      </c>
      <c r="F193" t="s">
        <v>78</v>
      </c>
      <c r="G193" t="s">
        <v>5</v>
      </c>
      <c r="H193" t="s">
        <v>700</v>
      </c>
      <c r="O193" t="s">
        <v>882</v>
      </c>
    </row>
    <row r="194" spans="2:16" x14ac:dyDescent="0.2">
      <c r="B194" t="s">
        <v>460</v>
      </c>
      <c r="E194" t="s">
        <v>19</v>
      </c>
      <c r="F194" t="s">
        <v>20</v>
      </c>
      <c r="G194" t="s">
        <v>5</v>
      </c>
      <c r="H194" t="s">
        <v>699</v>
      </c>
      <c r="O194" t="s">
        <v>882</v>
      </c>
    </row>
    <row r="195" spans="2:16" x14ac:dyDescent="0.2">
      <c r="B195" t="s">
        <v>462</v>
      </c>
      <c r="E195" t="s">
        <v>416</v>
      </c>
      <c r="F195" t="s">
        <v>417</v>
      </c>
      <c r="G195" t="s">
        <v>5</v>
      </c>
      <c r="H195" t="s">
        <v>702</v>
      </c>
      <c r="O195" t="s">
        <v>882</v>
      </c>
    </row>
    <row r="196" spans="2:16" x14ac:dyDescent="0.2">
      <c r="B196" t="s">
        <v>572</v>
      </c>
      <c r="E196" t="s">
        <v>123</v>
      </c>
      <c r="F196" t="s">
        <v>124</v>
      </c>
      <c r="G196" t="s">
        <v>5</v>
      </c>
      <c r="H196" t="s">
        <v>655</v>
      </c>
      <c r="O196" t="s">
        <v>882</v>
      </c>
    </row>
    <row r="197" spans="2:16" x14ac:dyDescent="0.2">
      <c r="B197" t="s">
        <v>464</v>
      </c>
      <c r="E197" t="s">
        <v>253</v>
      </c>
      <c r="F197" t="s">
        <v>254</v>
      </c>
      <c r="G197" t="s">
        <v>5</v>
      </c>
      <c r="H197" t="s">
        <v>699</v>
      </c>
      <c r="K197" t="s">
        <v>888</v>
      </c>
      <c r="N197" t="s">
        <v>889</v>
      </c>
      <c r="O197" t="s">
        <v>890</v>
      </c>
    </row>
    <row r="198" spans="2:16" x14ac:dyDescent="0.2">
      <c r="B198" t="s">
        <v>472</v>
      </c>
      <c r="E198" t="s">
        <v>400</v>
      </c>
      <c r="F198" t="s">
        <v>401</v>
      </c>
      <c r="G198" t="s">
        <v>5</v>
      </c>
      <c r="H198" t="s">
        <v>669</v>
      </c>
      <c r="K198" t="s">
        <v>888</v>
      </c>
      <c r="N198" t="s">
        <v>889</v>
      </c>
      <c r="O198" t="s">
        <v>890</v>
      </c>
    </row>
    <row r="199" spans="2:16" x14ac:dyDescent="0.2">
      <c r="B199" t="s">
        <v>574</v>
      </c>
      <c r="E199" t="s">
        <v>320</v>
      </c>
      <c r="F199" t="s">
        <v>321</v>
      </c>
      <c r="G199" t="s">
        <v>5</v>
      </c>
      <c r="H199" t="s">
        <v>700</v>
      </c>
      <c r="K199" t="s">
        <v>888</v>
      </c>
      <c r="N199" t="s">
        <v>889</v>
      </c>
      <c r="O199" t="s">
        <v>890</v>
      </c>
    </row>
    <row r="200" spans="2:16" x14ac:dyDescent="0.2">
      <c r="B200" t="s">
        <v>478</v>
      </c>
      <c r="E200" t="s">
        <v>390</v>
      </c>
      <c r="F200" t="s">
        <v>391</v>
      </c>
      <c r="G200" t="s">
        <v>5</v>
      </c>
      <c r="H200" t="s">
        <v>729</v>
      </c>
      <c r="K200" t="s">
        <v>888</v>
      </c>
      <c r="N200" t="s">
        <v>889</v>
      </c>
      <c r="O200" t="s">
        <v>890</v>
      </c>
    </row>
    <row r="201" spans="2:16" x14ac:dyDescent="0.2">
      <c r="B201" t="s">
        <v>576</v>
      </c>
      <c r="E201" t="s">
        <v>558</v>
      </c>
      <c r="F201" t="s">
        <v>559</v>
      </c>
      <c r="G201" t="s">
        <v>5</v>
      </c>
      <c r="H201" t="s">
        <v>655</v>
      </c>
      <c r="K201" t="s">
        <v>888</v>
      </c>
      <c r="N201" t="s">
        <v>889</v>
      </c>
      <c r="O201" t="s">
        <v>890</v>
      </c>
    </row>
    <row r="202" spans="2:16" x14ac:dyDescent="0.2">
      <c r="B202" t="s">
        <v>486</v>
      </c>
      <c r="E202" t="s">
        <v>541</v>
      </c>
      <c r="F202" t="s">
        <v>542</v>
      </c>
      <c r="G202" t="s">
        <v>5</v>
      </c>
      <c r="H202" t="s">
        <v>726</v>
      </c>
      <c r="K202" t="s">
        <v>888</v>
      </c>
      <c r="N202" t="s">
        <v>889</v>
      </c>
      <c r="O202" t="s">
        <v>890</v>
      </c>
    </row>
    <row r="203" spans="2:16" x14ac:dyDescent="0.2">
      <c r="B203" t="s">
        <v>492</v>
      </c>
      <c r="E203" t="s">
        <v>468</v>
      </c>
      <c r="F203" t="s">
        <v>469</v>
      </c>
      <c r="G203" t="s">
        <v>5</v>
      </c>
      <c r="H203" t="s">
        <v>654</v>
      </c>
      <c r="O203" t="s">
        <v>882</v>
      </c>
    </row>
    <row r="204" spans="2:16" x14ac:dyDescent="0.2">
      <c r="B204" t="s">
        <v>578</v>
      </c>
      <c r="E204" t="s">
        <v>306</v>
      </c>
      <c r="F204" t="s">
        <v>307</v>
      </c>
      <c r="G204" t="s">
        <v>5</v>
      </c>
      <c r="H204" t="s">
        <v>655</v>
      </c>
      <c r="O204" t="s">
        <v>895</v>
      </c>
    </row>
    <row r="205" spans="2:16" x14ac:dyDescent="0.2">
      <c r="B205" t="s">
        <v>499</v>
      </c>
      <c r="E205" t="s">
        <v>179</v>
      </c>
      <c r="F205" t="s">
        <v>180</v>
      </c>
      <c r="G205" t="s">
        <v>5</v>
      </c>
      <c r="H205" t="s">
        <v>702</v>
      </c>
      <c r="O205" t="s">
        <v>895</v>
      </c>
    </row>
    <row r="206" spans="2:16" x14ac:dyDescent="0.2">
      <c r="B206" t="s">
        <v>505</v>
      </c>
      <c r="E206" t="s">
        <v>1950</v>
      </c>
      <c r="F206" t="s">
        <v>216</v>
      </c>
      <c r="G206" t="s">
        <v>5</v>
      </c>
      <c r="H206" t="s">
        <v>774</v>
      </c>
      <c r="O206" t="s">
        <v>895</v>
      </c>
    </row>
    <row r="207" spans="2:16" x14ac:dyDescent="0.2">
      <c r="B207" t="s">
        <v>507</v>
      </c>
      <c r="E207" t="s">
        <v>225</v>
      </c>
      <c r="F207" t="s">
        <v>226</v>
      </c>
      <c r="G207" t="s">
        <v>5</v>
      </c>
      <c r="H207" t="s">
        <v>774</v>
      </c>
      <c r="O207" t="s">
        <v>895</v>
      </c>
    </row>
    <row r="208" spans="2:16" x14ac:dyDescent="0.2">
      <c r="B208" t="s">
        <v>509</v>
      </c>
      <c r="E208" t="s">
        <v>556</v>
      </c>
      <c r="F208" t="s">
        <v>557</v>
      </c>
      <c r="G208" t="s">
        <v>5</v>
      </c>
      <c r="H208" t="s">
        <v>726</v>
      </c>
      <c r="M208" t="s">
        <v>897</v>
      </c>
      <c r="O208" t="s">
        <v>898</v>
      </c>
      <c r="P208" t="s">
        <v>899</v>
      </c>
    </row>
    <row r="209" spans="2:16" x14ac:dyDescent="0.2">
      <c r="B209" t="s">
        <v>511</v>
      </c>
      <c r="E209" t="s">
        <v>181</v>
      </c>
      <c r="F209" t="s">
        <v>182</v>
      </c>
      <c r="G209" t="s">
        <v>5</v>
      </c>
      <c r="H209" t="s">
        <v>734</v>
      </c>
      <c r="M209" t="s">
        <v>897</v>
      </c>
      <c r="O209" t="s">
        <v>898</v>
      </c>
      <c r="P209" t="s">
        <v>899</v>
      </c>
    </row>
    <row r="210" spans="2:16" x14ac:dyDescent="0.2">
      <c r="B210" t="s">
        <v>517</v>
      </c>
      <c r="E210" t="s">
        <v>235</v>
      </c>
      <c r="F210" t="s">
        <v>236</v>
      </c>
      <c r="G210" t="s">
        <v>5</v>
      </c>
      <c r="H210" t="s">
        <v>644</v>
      </c>
      <c r="M210" t="s">
        <v>897</v>
      </c>
      <c r="O210" t="s">
        <v>898</v>
      </c>
      <c r="P210" t="s">
        <v>899</v>
      </c>
    </row>
    <row r="211" spans="2:16" x14ac:dyDescent="0.2">
      <c r="B211" t="s">
        <v>519</v>
      </c>
      <c r="E211" t="s">
        <v>165</v>
      </c>
      <c r="F211" t="s">
        <v>166</v>
      </c>
      <c r="G211" t="s">
        <v>5</v>
      </c>
      <c r="H211" t="s">
        <v>644</v>
      </c>
      <c r="M211" t="s">
        <v>897</v>
      </c>
      <c r="O211" t="s">
        <v>898</v>
      </c>
      <c r="P211" t="s">
        <v>899</v>
      </c>
    </row>
    <row r="212" spans="2:16" x14ac:dyDescent="0.2">
      <c r="B212" t="s">
        <v>521</v>
      </c>
      <c r="E212" t="s">
        <v>603</v>
      </c>
      <c r="F212" t="s">
        <v>604</v>
      </c>
      <c r="G212" t="s">
        <v>5</v>
      </c>
      <c r="H212" t="s">
        <v>774</v>
      </c>
      <c r="M212" t="s">
        <v>897</v>
      </c>
      <c r="O212" t="s">
        <v>898</v>
      </c>
      <c r="P212" t="s">
        <v>899</v>
      </c>
    </row>
    <row r="213" spans="2:16" x14ac:dyDescent="0.2">
      <c r="B213" t="s">
        <v>523</v>
      </c>
      <c r="E213" t="s">
        <v>619</v>
      </c>
      <c r="F213" t="s">
        <v>620</v>
      </c>
      <c r="G213" t="s">
        <v>5</v>
      </c>
      <c r="H213" t="s">
        <v>648</v>
      </c>
      <c r="M213" t="s">
        <v>897</v>
      </c>
      <c r="O213" t="s">
        <v>898</v>
      </c>
      <c r="P213" t="s">
        <v>899</v>
      </c>
    </row>
    <row r="214" spans="2:16" x14ac:dyDescent="0.2">
      <c r="B214" t="s">
        <v>527</v>
      </c>
      <c r="E214" t="s">
        <v>277</v>
      </c>
      <c r="F214" t="s">
        <v>278</v>
      </c>
      <c r="G214" t="s">
        <v>5</v>
      </c>
      <c r="H214" t="s">
        <v>702</v>
      </c>
      <c r="M214" t="s">
        <v>897</v>
      </c>
      <c r="O214" t="s">
        <v>898</v>
      </c>
      <c r="P214" t="s">
        <v>899</v>
      </c>
    </row>
    <row r="215" spans="2:16" x14ac:dyDescent="0.2">
      <c r="B215" t="s">
        <v>580</v>
      </c>
      <c r="E215" t="s">
        <v>615</v>
      </c>
      <c r="F215" t="s">
        <v>616</v>
      </c>
      <c r="G215" t="s">
        <v>5</v>
      </c>
      <c r="H215" t="s">
        <v>732</v>
      </c>
      <c r="M215" t="s">
        <v>897</v>
      </c>
      <c r="O215" t="s">
        <v>898</v>
      </c>
      <c r="P215" t="s">
        <v>899</v>
      </c>
    </row>
    <row r="216" spans="2:16" x14ac:dyDescent="0.2">
      <c r="B216" t="s">
        <v>535</v>
      </c>
      <c r="E216" t="s">
        <v>564</v>
      </c>
      <c r="F216" t="s">
        <v>565</v>
      </c>
      <c r="G216" t="s">
        <v>5</v>
      </c>
      <c r="H216" t="s">
        <v>699</v>
      </c>
      <c r="M216" t="s">
        <v>897</v>
      </c>
      <c r="O216" t="s">
        <v>898</v>
      </c>
      <c r="P216" t="s">
        <v>899</v>
      </c>
    </row>
    <row r="217" spans="2:16" x14ac:dyDescent="0.2">
      <c r="B217" t="s">
        <v>537</v>
      </c>
      <c r="E217" t="s">
        <v>442</v>
      </c>
      <c r="F217" t="s">
        <v>443</v>
      </c>
      <c r="G217" t="s">
        <v>5</v>
      </c>
      <c r="H217" t="s">
        <v>700</v>
      </c>
      <c r="M217" t="s">
        <v>897</v>
      </c>
      <c r="O217" t="s">
        <v>898</v>
      </c>
      <c r="P217" t="s">
        <v>899</v>
      </c>
    </row>
    <row r="218" spans="2:16" x14ac:dyDescent="0.2">
      <c r="B218" t="s">
        <v>541</v>
      </c>
      <c r="E218" t="s">
        <v>597</v>
      </c>
      <c r="F218" t="s">
        <v>598</v>
      </c>
      <c r="G218" t="s">
        <v>5</v>
      </c>
      <c r="H218" t="s">
        <v>732</v>
      </c>
      <c r="M218" t="s">
        <v>897</v>
      </c>
      <c r="O218" t="s">
        <v>898</v>
      </c>
      <c r="P218" t="s">
        <v>899</v>
      </c>
    </row>
    <row r="219" spans="2:16" x14ac:dyDescent="0.2">
      <c r="B219" t="s">
        <v>582</v>
      </c>
      <c r="E219" t="s">
        <v>568</v>
      </c>
      <c r="F219" t="s">
        <v>569</v>
      </c>
      <c r="G219" t="s">
        <v>5</v>
      </c>
      <c r="H219" t="s">
        <v>818</v>
      </c>
      <c r="M219" t="s">
        <v>897</v>
      </c>
      <c r="O219" t="s">
        <v>898</v>
      </c>
      <c r="P219" t="s">
        <v>899</v>
      </c>
    </row>
    <row r="220" spans="2:16" x14ac:dyDescent="0.2">
      <c r="B220" t="s">
        <v>543</v>
      </c>
      <c r="E220" t="s">
        <v>61</v>
      </c>
      <c r="F220" t="s">
        <v>62</v>
      </c>
      <c r="G220" t="s">
        <v>5</v>
      </c>
      <c r="H220" t="s">
        <v>820</v>
      </c>
      <c r="M220" t="s">
        <v>897</v>
      </c>
      <c r="O220" t="s">
        <v>898</v>
      </c>
      <c r="P220" t="s">
        <v>899</v>
      </c>
    </row>
    <row r="221" spans="2:16" x14ac:dyDescent="0.2">
      <c r="B221" t="s">
        <v>470</v>
      </c>
      <c r="E221" t="s">
        <v>599</v>
      </c>
      <c r="F221" t="s">
        <v>600</v>
      </c>
      <c r="G221" t="s">
        <v>5</v>
      </c>
      <c r="H221" t="s">
        <v>734</v>
      </c>
      <c r="M221" t="s">
        <v>897</v>
      </c>
      <c r="O221" t="s">
        <v>898</v>
      </c>
      <c r="P221" t="s">
        <v>899</v>
      </c>
    </row>
    <row r="222" spans="2:16" x14ac:dyDescent="0.2">
      <c r="B222" t="s">
        <v>450</v>
      </c>
      <c r="E222" t="s">
        <v>554</v>
      </c>
      <c r="F222" t="s">
        <v>555</v>
      </c>
      <c r="G222" t="s">
        <v>5</v>
      </c>
      <c r="H222" t="s">
        <v>726</v>
      </c>
      <c r="M222" t="s">
        <v>897</v>
      </c>
      <c r="O222" t="s">
        <v>898</v>
      </c>
      <c r="P222" t="s">
        <v>899</v>
      </c>
    </row>
    <row r="223" spans="2:16" x14ac:dyDescent="0.2">
      <c r="B223" t="s">
        <v>515</v>
      </c>
      <c r="E223" t="s">
        <v>21</v>
      </c>
      <c r="F223" t="s">
        <v>22</v>
      </c>
      <c r="G223" t="s">
        <v>5</v>
      </c>
      <c r="H223" t="s">
        <v>680</v>
      </c>
      <c r="M223" t="s">
        <v>897</v>
      </c>
      <c r="O223" t="s">
        <v>898</v>
      </c>
      <c r="P223" t="s">
        <v>899</v>
      </c>
    </row>
    <row r="224" spans="2:16" x14ac:dyDescent="0.2">
      <c r="B224" t="s">
        <v>444</v>
      </c>
      <c r="E224" t="s">
        <v>533</v>
      </c>
      <c r="F224" t="s">
        <v>534</v>
      </c>
      <c r="G224" t="s">
        <v>5</v>
      </c>
      <c r="H224" t="s">
        <v>673</v>
      </c>
      <c r="M224" t="s">
        <v>897</v>
      </c>
      <c r="O224" t="s">
        <v>898</v>
      </c>
      <c r="P224" t="s">
        <v>899</v>
      </c>
    </row>
    <row r="225" spans="2:16" x14ac:dyDescent="0.2">
      <c r="B225" t="s">
        <v>358</v>
      </c>
      <c r="E225" t="s">
        <v>605</v>
      </c>
      <c r="F225" t="s">
        <v>606</v>
      </c>
      <c r="G225" t="s">
        <v>5</v>
      </c>
      <c r="H225" t="s">
        <v>654</v>
      </c>
      <c r="M225" t="s">
        <v>897</v>
      </c>
      <c r="O225" t="s">
        <v>898</v>
      </c>
      <c r="P225" t="s">
        <v>899</v>
      </c>
    </row>
    <row r="226" spans="2:16" x14ac:dyDescent="0.2">
      <c r="B226" t="s">
        <v>408</v>
      </c>
      <c r="E226" t="s">
        <v>578</v>
      </c>
      <c r="F226" t="s">
        <v>579</v>
      </c>
      <c r="G226" t="s">
        <v>5</v>
      </c>
      <c r="H226" t="s">
        <v>652</v>
      </c>
      <c r="M226" t="s">
        <v>897</v>
      </c>
      <c r="O226" t="s">
        <v>898</v>
      </c>
      <c r="P226" t="s">
        <v>899</v>
      </c>
    </row>
    <row r="227" spans="2:16" x14ac:dyDescent="0.2">
      <c r="B227" t="s">
        <v>466</v>
      </c>
      <c r="E227" t="s">
        <v>287</v>
      </c>
      <c r="F227" t="s">
        <v>288</v>
      </c>
      <c r="G227" t="s">
        <v>5</v>
      </c>
      <c r="H227" t="s">
        <v>700</v>
      </c>
      <c r="M227" t="s">
        <v>897</v>
      </c>
      <c r="O227" t="s">
        <v>898</v>
      </c>
      <c r="P227" t="s">
        <v>899</v>
      </c>
    </row>
    <row r="228" spans="2:16" x14ac:dyDescent="0.2">
      <c r="B228" t="s">
        <v>494</v>
      </c>
      <c r="E228" t="s">
        <v>589</v>
      </c>
      <c r="F228" t="s">
        <v>590</v>
      </c>
      <c r="G228" t="s">
        <v>5</v>
      </c>
      <c r="H228" t="s">
        <v>693</v>
      </c>
      <c r="M228" t="s">
        <v>897</v>
      </c>
      <c r="O228" t="s">
        <v>898</v>
      </c>
      <c r="P228" t="s">
        <v>899</v>
      </c>
    </row>
    <row r="229" spans="2:16" x14ac:dyDescent="0.2">
      <c r="B229" t="s">
        <v>438</v>
      </c>
      <c r="E229" t="s">
        <v>396</v>
      </c>
      <c r="F229" t="s">
        <v>397</v>
      </c>
      <c r="G229" t="s">
        <v>5</v>
      </c>
      <c r="H229" t="s">
        <v>732</v>
      </c>
      <c r="K229" t="s">
        <v>1144</v>
      </c>
      <c r="L229" t="s">
        <v>1145</v>
      </c>
      <c r="O229" t="s">
        <v>1146</v>
      </c>
      <c r="P229" t="s">
        <v>1147</v>
      </c>
    </row>
    <row r="230" spans="2:16" x14ac:dyDescent="0.2">
      <c r="B230" t="s">
        <v>503</v>
      </c>
      <c r="E230" t="s">
        <v>334</v>
      </c>
      <c r="F230" t="s">
        <v>335</v>
      </c>
      <c r="G230" t="s">
        <v>5</v>
      </c>
      <c r="H230" t="s">
        <v>733</v>
      </c>
    </row>
    <row r="231" spans="2:16" x14ac:dyDescent="0.2">
      <c r="B231" t="s">
        <v>354</v>
      </c>
      <c r="E231" t="s">
        <v>494</v>
      </c>
      <c r="F231" t="s">
        <v>495</v>
      </c>
      <c r="G231" t="s">
        <v>5</v>
      </c>
      <c r="H231" t="s">
        <v>650</v>
      </c>
      <c r="K231" t="s">
        <v>656</v>
      </c>
      <c r="O231" t="s">
        <v>657</v>
      </c>
    </row>
    <row r="232" spans="2:16" x14ac:dyDescent="0.2">
      <c r="B232" t="s">
        <v>613</v>
      </c>
      <c r="E232" t="s">
        <v>99</v>
      </c>
      <c r="F232" t="s">
        <v>100</v>
      </c>
      <c r="G232" t="s">
        <v>5</v>
      </c>
      <c r="H232" t="s">
        <v>680</v>
      </c>
      <c r="K232" t="s">
        <v>656</v>
      </c>
      <c r="O232" t="s">
        <v>657</v>
      </c>
    </row>
    <row r="233" spans="2:16" x14ac:dyDescent="0.2">
      <c r="B233" t="s">
        <v>480</v>
      </c>
      <c r="E233" t="s">
        <v>580</v>
      </c>
      <c r="F233" t="s">
        <v>581</v>
      </c>
      <c r="G233" t="s">
        <v>5</v>
      </c>
      <c r="H233" t="s">
        <v>714</v>
      </c>
      <c r="M233" t="s">
        <v>897</v>
      </c>
      <c r="O233" t="s">
        <v>898</v>
      </c>
      <c r="P233" t="s">
        <v>899</v>
      </c>
    </row>
    <row r="234" spans="2:16" x14ac:dyDescent="0.2">
      <c r="B234" t="s">
        <v>609</v>
      </c>
      <c r="E234" t="s">
        <v>591</v>
      </c>
      <c r="F234" t="s">
        <v>592</v>
      </c>
      <c r="G234" t="s">
        <v>5</v>
      </c>
      <c r="H234" t="s">
        <v>639</v>
      </c>
      <c r="M234" t="s">
        <v>897</v>
      </c>
      <c r="O234" t="s">
        <v>898</v>
      </c>
      <c r="P234" t="s">
        <v>899</v>
      </c>
    </row>
    <row r="235" spans="2:16" x14ac:dyDescent="0.2">
      <c r="B235" t="s">
        <v>468</v>
      </c>
      <c r="E235" t="s">
        <v>537</v>
      </c>
      <c r="F235" t="s">
        <v>538</v>
      </c>
      <c r="G235" t="s">
        <v>5</v>
      </c>
      <c r="H235" t="s">
        <v>729</v>
      </c>
      <c r="O235" t="s">
        <v>852</v>
      </c>
      <c r="P235" t="s">
        <v>853</v>
      </c>
    </row>
    <row r="236" spans="2:16" x14ac:dyDescent="0.2">
      <c r="B236" t="s">
        <v>366</v>
      </c>
      <c r="E236" t="s">
        <v>131</v>
      </c>
      <c r="F236" t="s">
        <v>132</v>
      </c>
      <c r="G236" t="s">
        <v>5</v>
      </c>
      <c r="H236" t="s">
        <v>654</v>
      </c>
      <c r="O236" t="s">
        <v>908</v>
      </c>
    </row>
    <row r="237" spans="2:16" x14ac:dyDescent="0.2">
      <c r="B237" t="s">
        <v>398</v>
      </c>
      <c r="E237" t="s">
        <v>434</v>
      </c>
      <c r="F237" t="s">
        <v>435</v>
      </c>
      <c r="G237" t="s">
        <v>5</v>
      </c>
      <c r="H237" t="s">
        <v>734</v>
      </c>
      <c r="O237" t="s">
        <v>908</v>
      </c>
    </row>
    <row r="238" spans="2:16" x14ac:dyDescent="0.2">
      <c r="B238" t="s">
        <v>416</v>
      </c>
      <c r="E238" t="s">
        <v>560</v>
      </c>
      <c r="F238" t="s">
        <v>561</v>
      </c>
      <c r="G238" t="s">
        <v>5</v>
      </c>
      <c r="H238" t="s">
        <v>669</v>
      </c>
      <c r="O238" t="s">
        <v>908</v>
      </c>
    </row>
    <row r="239" spans="2:16" x14ac:dyDescent="0.2">
      <c r="B239" t="s">
        <v>299</v>
      </c>
      <c r="E239" t="s">
        <v>133</v>
      </c>
      <c r="F239" t="s">
        <v>134</v>
      </c>
      <c r="G239" t="s">
        <v>5</v>
      </c>
      <c r="H239" t="s">
        <v>670</v>
      </c>
      <c r="O239" t="s">
        <v>908</v>
      </c>
    </row>
    <row r="240" spans="2:16" x14ac:dyDescent="0.2">
      <c r="B240" t="s">
        <v>436</v>
      </c>
      <c r="E240" t="s">
        <v>450</v>
      </c>
      <c r="F240" t="s">
        <v>451</v>
      </c>
      <c r="G240" t="s">
        <v>5</v>
      </c>
      <c r="H240" t="s">
        <v>732</v>
      </c>
    </row>
    <row r="241" spans="2:16" x14ac:dyDescent="0.2">
      <c r="B241" t="s">
        <v>316</v>
      </c>
      <c r="E241" t="s">
        <v>285</v>
      </c>
      <c r="F241" t="s">
        <v>286</v>
      </c>
      <c r="G241" t="s">
        <v>5</v>
      </c>
      <c r="H241" t="s">
        <v>726</v>
      </c>
      <c r="O241" t="s">
        <v>912</v>
      </c>
      <c r="P241" t="s">
        <v>913</v>
      </c>
    </row>
    <row r="242" spans="2:16" x14ac:dyDescent="0.2">
      <c r="B242" t="s">
        <v>275</v>
      </c>
      <c r="E242" t="s">
        <v>496</v>
      </c>
      <c r="F242" t="s">
        <v>497</v>
      </c>
      <c r="G242" t="s">
        <v>5</v>
      </c>
      <c r="H242" t="s">
        <v>654</v>
      </c>
      <c r="K242" t="s">
        <v>915</v>
      </c>
      <c r="M242" t="s">
        <v>740</v>
      </c>
      <c r="O242" t="s">
        <v>741</v>
      </c>
      <c r="P242" t="s">
        <v>742</v>
      </c>
    </row>
    <row r="243" spans="2:16" x14ac:dyDescent="0.2">
      <c r="B243" t="s">
        <v>607</v>
      </c>
      <c r="E243" t="s">
        <v>247</v>
      </c>
      <c r="F243" t="s">
        <v>248</v>
      </c>
      <c r="G243" t="s">
        <v>5</v>
      </c>
      <c r="H243" t="s">
        <v>699</v>
      </c>
      <c r="K243" t="s">
        <v>915</v>
      </c>
      <c r="M243" t="s">
        <v>740</v>
      </c>
      <c r="O243" t="s">
        <v>741</v>
      </c>
      <c r="P243" t="s">
        <v>742</v>
      </c>
    </row>
    <row r="244" spans="2:16" x14ac:dyDescent="0.2">
      <c r="B244" t="s">
        <v>410</v>
      </c>
      <c r="E244" t="s">
        <v>529</v>
      </c>
      <c r="F244" t="s">
        <v>530</v>
      </c>
      <c r="G244" t="s">
        <v>5</v>
      </c>
      <c r="H244" t="s">
        <v>673</v>
      </c>
      <c r="K244" t="s">
        <v>915</v>
      </c>
      <c r="M244" t="s">
        <v>740</v>
      </c>
      <c r="O244" t="s">
        <v>741</v>
      </c>
      <c r="P244" t="s">
        <v>742</v>
      </c>
    </row>
    <row r="245" spans="2:16" x14ac:dyDescent="0.2">
      <c r="B245" t="s">
        <v>458</v>
      </c>
      <c r="E245" t="s">
        <v>523</v>
      </c>
      <c r="F245" t="s">
        <v>524</v>
      </c>
      <c r="G245" t="s">
        <v>5</v>
      </c>
      <c r="H245" t="s">
        <v>732</v>
      </c>
      <c r="O245" t="s">
        <v>916</v>
      </c>
    </row>
    <row r="246" spans="2:16" x14ac:dyDescent="0.2">
      <c r="B246" t="s">
        <v>308</v>
      </c>
      <c r="E246" t="s">
        <v>440</v>
      </c>
      <c r="F246" t="s">
        <v>441</v>
      </c>
      <c r="G246" t="s">
        <v>5</v>
      </c>
      <c r="H246" t="s">
        <v>733</v>
      </c>
      <c r="O246" t="s">
        <v>916</v>
      </c>
    </row>
    <row r="247" spans="2:16" x14ac:dyDescent="0.2">
      <c r="B247" t="s">
        <v>501</v>
      </c>
      <c r="E247" t="s">
        <v>352</v>
      </c>
      <c r="F247" t="s">
        <v>353</v>
      </c>
      <c r="G247" t="s">
        <v>5</v>
      </c>
      <c r="H247" t="s">
        <v>726</v>
      </c>
    </row>
    <row r="248" spans="2:16" x14ac:dyDescent="0.2">
      <c r="B248" t="s">
        <v>513</v>
      </c>
      <c r="E248" t="s">
        <v>460</v>
      </c>
      <c r="F248" t="s">
        <v>461</v>
      </c>
      <c r="G248" t="s">
        <v>5</v>
      </c>
      <c r="H248" t="s">
        <v>734</v>
      </c>
      <c r="O248" t="s">
        <v>912</v>
      </c>
      <c r="P248" t="s">
        <v>913</v>
      </c>
    </row>
    <row r="249" spans="2:16" x14ac:dyDescent="0.2">
      <c r="B249" t="s">
        <v>388</v>
      </c>
      <c r="E249" t="s">
        <v>420</v>
      </c>
      <c r="F249" t="s">
        <v>421</v>
      </c>
      <c r="G249" t="s">
        <v>5</v>
      </c>
      <c r="H249" t="s">
        <v>734</v>
      </c>
      <c r="O249" t="s">
        <v>912</v>
      </c>
      <c r="P249" t="s">
        <v>913</v>
      </c>
    </row>
    <row r="250" spans="2:16" x14ac:dyDescent="0.2">
      <c r="B250" t="s">
        <v>267</v>
      </c>
      <c r="E250" t="s">
        <v>576</v>
      </c>
      <c r="F250" t="s">
        <v>577</v>
      </c>
      <c r="G250" t="s">
        <v>5</v>
      </c>
      <c r="H250" t="s">
        <v>726</v>
      </c>
      <c r="O250" t="s">
        <v>912</v>
      </c>
      <c r="P250" t="s">
        <v>913</v>
      </c>
    </row>
    <row r="251" spans="2:16" x14ac:dyDescent="0.2">
      <c r="B251" t="s">
        <v>281</v>
      </c>
      <c r="E251" t="s">
        <v>501</v>
      </c>
      <c r="F251" t="s">
        <v>502</v>
      </c>
      <c r="G251" t="s">
        <v>5</v>
      </c>
      <c r="H251" t="s">
        <v>675</v>
      </c>
      <c r="O251" t="s">
        <v>912</v>
      </c>
      <c r="P251" t="s">
        <v>913</v>
      </c>
    </row>
    <row r="252" spans="2:16" x14ac:dyDescent="0.2">
      <c r="B252" t="s">
        <v>406</v>
      </c>
      <c r="E252" t="s">
        <v>89</v>
      </c>
      <c r="F252" t="s">
        <v>90</v>
      </c>
      <c r="G252" t="s">
        <v>5</v>
      </c>
      <c r="H252" t="s">
        <v>654</v>
      </c>
      <c r="K252" t="s">
        <v>922</v>
      </c>
      <c r="L252" t="s">
        <v>923</v>
      </c>
      <c r="O252" t="s">
        <v>924</v>
      </c>
    </row>
    <row r="253" spans="2:16" x14ac:dyDescent="0.2">
      <c r="B253" t="s">
        <v>297</v>
      </c>
      <c r="E253" t="s">
        <v>362</v>
      </c>
      <c r="F253" t="s">
        <v>363</v>
      </c>
      <c r="G253" t="s">
        <v>5</v>
      </c>
      <c r="H253" t="s">
        <v>729</v>
      </c>
      <c r="K253" t="s">
        <v>922</v>
      </c>
      <c r="L253" t="s">
        <v>923</v>
      </c>
      <c r="O253" t="s">
        <v>924</v>
      </c>
    </row>
    <row r="254" spans="2:16" x14ac:dyDescent="0.2">
      <c r="B254" t="s">
        <v>287</v>
      </c>
      <c r="E254" t="s">
        <v>505</v>
      </c>
      <c r="F254" t="s">
        <v>506</v>
      </c>
      <c r="G254" t="s">
        <v>5</v>
      </c>
      <c r="H254" t="s">
        <v>714</v>
      </c>
      <c r="K254" t="s">
        <v>926</v>
      </c>
      <c r="L254" t="s">
        <v>927</v>
      </c>
      <c r="O254" t="s">
        <v>928</v>
      </c>
    </row>
    <row r="255" spans="2:16" x14ac:dyDescent="0.2">
      <c r="B255" t="s">
        <v>545</v>
      </c>
      <c r="E255" t="s">
        <v>478</v>
      </c>
      <c r="F255" t="s">
        <v>479</v>
      </c>
      <c r="G255" t="s">
        <v>5</v>
      </c>
      <c r="H255" t="s">
        <v>654</v>
      </c>
      <c r="K255" t="s">
        <v>922</v>
      </c>
      <c r="L255" t="s">
        <v>923</v>
      </c>
      <c r="O255" t="s">
        <v>924</v>
      </c>
    </row>
    <row r="256" spans="2:16" x14ac:dyDescent="0.2">
      <c r="B256" t="s">
        <v>382</v>
      </c>
      <c r="E256" t="s">
        <v>330</v>
      </c>
      <c r="F256" t="s">
        <v>331</v>
      </c>
      <c r="G256" t="s">
        <v>5</v>
      </c>
      <c r="H256" t="s">
        <v>639</v>
      </c>
      <c r="K256" t="s">
        <v>922</v>
      </c>
      <c r="L256" t="s">
        <v>923</v>
      </c>
      <c r="O256" t="s">
        <v>924</v>
      </c>
    </row>
    <row r="257" spans="2:16" x14ac:dyDescent="0.2">
      <c r="B257" t="s">
        <v>589</v>
      </c>
      <c r="E257" t="s">
        <v>295</v>
      </c>
      <c r="F257" t="s">
        <v>296</v>
      </c>
      <c r="G257" t="s">
        <v>5</v>
      </c>
      <c r="H257" t="s">
        <v>650</v>
      </c>
      <c r="K257" t="s">
        <v>926</v>
      </c>
      <c r="L257" t="s">
        <v>927</v>
      </c>
      <c r="O257" t="s">
        <v>928</v>
      </c>
    </row>
    <row r="258" spans="2:16" x14ac:dyDescent="0.2">
      <c r="B258" t="s">
        <v>318</v>
      </c>
      <c r="E258" t="s">
        <v>418</v>
      </c>
      <c r="F258" t="s">
        <v>419</v>
      </c>
      <c r="G258" t="s">
        <v>5</v>
      </c>
      <c r="H258" t="s">
        <v>688</v>
      </c>
      <c r="K258" t="s">
        <v>640</v>
      </c>
      <c r="L258" t="s">
        <v>858</v>
      </c>
      <c r="O258" t="s">
        <v>1173</v>
      </c>
    </row>
    <row r="259" spans="2:16" x14ac:dyDescent="0.2">
      <c r="B259" t="s">
        <v>605</v>
      </c>
      <c r="E259" t="s">
        <v>279</v>
      </c>
      <c r="F259" t="s">
        <v>280</v>
      </c>
      <c r="G259" t="s">
        <v>5</v>
      </c>
      <c r="H259" t="s">
        <v>644</v>
      </c>
      <c r="K259" t="s">
        <v>926</v>
      </c>
      <c r="L259" t="s">
        <v>927</v>
      </c>
      <c r="O259" t="s">
        <v>928</v>
      </c>
    </row>
    <row r="260" spans="2:16" x14ac:dyDescent="0.2">
      <c r="B260" t="s">
        <v>539</v>
      </c>
      <c r="E260" t="s">
        <v>187</v>
      </c>
      <c r="F260" t="s">
        <v>188</v>
      </c>
      <c r="G260" t="s">
        <v>5</v>
      </c>
      <c r="H260" t="s">
        <v>729</v>
      </c>
      <c r="K260" t="s">
        <v>930</v>
      </c>
      <c r="O260" t="s">
        <v>931</v>
      </c>
      <c r="P260" t="s">
        <v>932</v>
      </c>
    </row>
    <row r="261" spans="2:16" x14ac:dyDescent="0.2">
      <c r="B261" t="s">
        <v>611</v>
      </c>
      <c r="E261" t="s">
        <v>432</v>
      </c>
      <c r="F261" t="s">
        <v>433</v>
      </c>
      <c r="G261" t="s">
        <v>5</v>
      </c>
      <c r="H261" t="s">
        <v>734</v>
      </c>
      <c r="K261" t="s">
        <v>930</v>
      </c>
      <c r="O261" t="s">
        <v>931</v>
      </c>
      <c r="P261" t="s">
        <v>932</v>
      </c>
    </row>
    <row r="262" spans="2:16" x14ac:dyDescent="0.2">
      <c r="B262" t="s">
        <v>265</v>
      </c>
      <c r="E262" t="s">
        <v>482</v>
      </c>
      <c r="F262" t="s">
        <v>483</v>
      </c>
      <c r="G262" t="s">
        <v>5</v>
      </c>
      <c r="H262" t="s">
        <v>669</v>
      </c>
      <c r="K262" t="s">
        <v>930</v>
      </c>
      <c r="O262" t="s">
        <v>931</v>
      </c>
      <c r="P262" t="s">
        <v>932</v>
      </c>
    </row>
    <row r="263" spans="2:16" x14ac:dyDescent="0.2">
      <c r="B263" t="s">
        <v>269</v>
      </c>
      <c r="E263" t="s">
        <v>175</v>
      </c>
      <c r="F263" t="s">
        <v>176</v>
      </c>
      <c r="G263" t="s">
        <v>5</v>
      </c>
      <c r="H263" t="s">
        <v>644</v>
      </c>
      <c r="K263" t="s">
        <v>930</v>
      </c>
      <c r="O263" t="s">
        <v>931</v>
      </c>
      <c r="P263" t="s">
        <v>932</v>
      </c>
    </row>
    <row r="264" spans="2:16" x14ac:dyDescent="0.2">
      <c r="B264" t="s">
        <v>277</v>
      </c>
      <c r="E264" t="s">
        <v>356</v>
      </c>
      <c r="F264" t="s">
        <v>357</v>
      </c>
      <c r="G264" t="s">
        <v>5</v>
      </c>
      <c r="H264" t="s">
        <v>644</v>
      </c>
      <c r="K264" t="s">
        <v>934</v>
      </c>
      <c r="O264" t="s">
        <v>935</v>
      </c>
    </row>
    <row r="265" spans="2:16" x14ac:dyDescent="0.2">
      <c r="B265" t="s">
        <v>279</v>
      </c>
      <c r="E265" t="s">
        <v>348</v>
      </c>
      <c r="F265" t="s">
        <v>349</v>
      </c>
      <c r="G265" t="s">
        <v>5</v>
      </c>
      <c r="H265" t="s">
        <v>647</v>
      </c>
      <c r="K265" t="s">
        <v>934</v>
      </c>
      <c r="O265" t="s">
        <v>935</v>
      </c>
    </row>
    <row r="266" spans="2:16" x14ac:dyDescent="0.2">
      <c r="B266" t="s">
        <v>291</v>
      </c>
      <c r="E266" t="s">
        <v>105</v>
      </c>
      <c r="F266" t="s">
        <v>106</v>
      </c>
      <c r="G266" t="s">
        <v>5</v>
      </c>
      <c r="H266" t="s">
        <v>726</v>
      </c>
      <c r="O266" t="s">
        <v>796</v>
      </c>
    </row>
    <row r="267" spans="2:16" x14ac:dyDescent="0.2">
      <c r="B267" t="s">
        <v>306</v>
      </c>
      <c r="E267" t="s">
        <v>185</v>
      </c>
      <c r="F267" t="s">
        <v>186</v>
      </c>
      <c r="G267" t="s">
        <v>5</v>
      </c>
      <c r="H267" t="s">
        <v>652</v>
      </c>
      <c r="O267" t="s">
        <v>796</v>
      </c>
    </row>
    <row r="268" spans="2:16" x14ac:dyDescent="0.2">
      <c r="B268" t="s">
        <v>314</v>
      </c>
      <c r="E268" t="s">
        <v>219</v>
      </c>
      <c r="F268" t="s">
        <v>220</v>
      </c>
      <c r="G268" t="s">
        <v>5</v>
      </c>
      <c r="H268" t="s">
        <v>644</v>
      </c>
      <c r="O268" t="s">
        <v>796</v>
      </c>
    </row>
    <row r="269" spans="2:16" x14ac:dyDescent="0.2">
      <c r="B269" t="s">
        <v>328</v>
      </c>
      <c r="E269" t="s">
        <v>261</v>
      </c>
      <c r="F269" t="s">
        <v>262</v>
      </c>
      <c r="G269" t="s">
        <v>5</v>
      </c>
      <c r="H269" t="s">
        <v>699</v>
      </c>
      <c r="O269" t="s">
        <v>796</v>
      </c>
    </row>
    <row r="270" spans="2:16" x14ac:dyDescent="0.2">
      <c r="B270" t="s">
        <v>330</v>
      </c>
      <c r="E270" t="s">
        <v>35</v>
      </c>
      <c r="F270" t="s">
        <v>36</v>
      </c>
      <c r="G270" t="s">
        <v>5</v>
      </c>
      <c r="H270" t="s">
        <v>700</v>
      </c>
    </row>
    <row r="271" spans="2:16" x14ac:dyDescent="0.2">
      <c r="B271" t="s">
        <v>336</v>
      </c>
      <c r="E271" t="s">
        <v>243</v>
      </c>
      <c r="F271" t="s">
        <v>244</v>
      </c>
      <c r="G271" t="s">
        <v>5</v>
      </c>
      <c r="H271" t="s">
        <v>699</v>
      </c>
      <c r="K271" t="s">
        <v>640</v>
      </c>
      <c r="L271" t="s">
        <v>941</v>
      </c>
      <c r="O271" t="s">
        <v>942</v>
      </c>
      <c r="P271" t="s">
        <v>750</v>
      </c>
    </row>
    <row r="272" spans="2:16" x14ac:dyDescent="0.2">
      <c r="B272" t="s">
        <v>342</v>
      </c>
      <c r="E272" t="s">
        <v>45</v>
      </c>
      <c r="F272" t="s">
        <v>46</v>
      </c>
      <c r="G272" t="s">
        <v>5</v>
      </c>
      <c r="H272" t="s">
        <v>700</v>
      </c>
      <c r="K272" t="s">
        <v>640</v>
      </c>
      <c r="L272" t="s">
        <v>941</v>
      </c>
      <c r="O272" t="s">
        <v>942</v>
      </c>
      <c r="P272" t="s">
        <v>750</v>
      </c>
    </row>
    <row r="273" spans="2:16" x14ac:dyDescent="0.2">
      <c r="B273" t="s">
        <v>368</v>
      </c>
      <c r="E273" t="s">
        <v>448</v>
      </c>
      <c r="F273" t="s">
        <v>449</v>
      </c>
      <c r="G273" t="s">
        <v>5</v>
      </c>
      <c r="H273" t="s">
        <v>702</v>
      </c>
      <c r="K273" t="s">
        <v>640</v>
      </c>
      <c r="L273" t="s">
        <v>941</v>
      </c>
      <c r="O273" t="s">
        <v>945</v>
      </c>
      <c r="P273" t="s">
        <v>750</v>
      </c>
    </row>
    <row r="274" spans="2:16" x14ac:dyDescent="0.2">
      <c r="B274" t="s">
        <v>372</v>
      </c>
      <c r="E274" t="s">
        <v>199</v>
      </c>
      <c r="F274" t="s">
        <v>200</v>
      </c>
      <c r="G274" t="s">
        <v>5</v>
      </c>
      <c r="H274" t="s">
        <v>699</v>
      </c>
      <c r="O274" t="s">
        <v>946</v>
      </c>
    </row>
    <row r="275" spans="2:16" x14ac:dyDescent="0.2">
      <c r="B275" t="s">
        <v>384</v>
      </c>
      <c r="E275" t="s">
        <v>372</v>
      </c>
      <c r="F275" t="s">
        <v>373</v>
      </c>
      <c r="G275" t="s">
        <v>5</v>
      </c>
      <c r="H275" t="s">
        <v>1077</v>
      </c>
      <c r="O275" t="s">
        <v>1007</v>
      </c>
    </row>
    <row r="276" spans="2:16" x14ac:dyDescent="0.2">
      <c r="B276" t="s">
        <v>390</v>
      </c>
      <c r="E276" t="s">
        <v>273</v>
      </c>
      <c r="F276" t="s">
        <v>274</v>
      </c>
      <c r="G276" t="s">
        <v>5</v>
      </c>
      <c r="H276" t="s">
        <v>726</v>
      </c>
      <c r="O276" t="s">
        <v>948</v>
      </c>
    </row>
    <row r="277" spans="2:16" x14ac:dyDescent="0.2">
      <c r="B277" t="s">
        <v>396</v>
      </c>
      <c r="E277" t="s">
        <v>227</v>
      </c>
      <c r="F277" t="s">
        <v>228</v>
      </c>
      <c r="G277" t="s">
        <v>5</v>
      </c>
      <c r="H277" t="s">
        <v>650</v>
      </c>
    </row>
    <row r="278" spans="2:16" x14ac:dyDescent="0.2">
      <c r="B278" t="s">
        <v>400</v>
      </c>
      <c r="E278" t="s">
        <v>57</v>
      </c>
      <c r="F278" t="s">
        <v>58</v>
      </c>
      <c r="G278" t="s">
        <v>5</v>
      </c>
      <c r="H278" t="s">
        <v>729</v>
      </c>
    </row>
    <row r="279" spans="2:16" x14ac:dyDescent="0.2">
      <c r="B279" t="s">
        <v>404</v>
      </c>
      <c r="E279" t="s">
        <v>97</v>
      </c>
      <c r="F279" t="s">
        <v>98</v>
      </c>
      <c r="G279" t="s">
        <v>5</v>
      </c>
      <c r="H279" t="s">
        <v>669</v>
      </c>
    </row>
    <row r="280" spans="2:16" x14ac:dyDescent="0.2">
      <c r="B280" t="s">
        <v>412</v>
      </c>
      <c r="E280" t="s">
        <v>368</v>
      </c>
      <c r="F280" t="s">
        <v>369</v>
      </c>
      <c r="G280" t="s">
        <v>5</v>
      </c>
      <c r="H280" t="s">
        <v>729</v>
      </c>
    </row>
    <row r="281" spans="2:16" x14ac:dyDescent="0.2">
      <c r="B281" t="s">
        <v>418</v>
      </c>
      <c r="E281" t="s">
        <v>271</v>
      </c>
      <c r="F281" t="s">
        <v>272</v>
      </c>
      <c r="G281" t="s">
        <v>5</v>
      </c>
      <c r="H281" t="s">
        <v>733</v>
      </c>
    </row>
    <row r="282" spans="2:16" x14ac:dyDescent="0.2">
      <c r="B282" t="s">
        <v>422</v>
      </c>
      <c r="E282" t="s">
        <v>456</v>
      </c>
      <c r="F282" t="s">
        <v>457</v>
      </c>
      <c r="G282" t="s">
        <v>5</v>
      </c>
      <c r="H282" t="s">
        <v>644</v>
      </c>
    </row>
    <row r="283" spans="2:16" x14ac:dyDescent="0.2">
      <c r="B283" t="s">
        <v>424</v>
      </c>
      <c r="E283" t="s">
        <v>233</v>
      </c>
      <c r="F283" t="s">
        <v>234</v>
      </c>
      <c r="G283" t="s">
        <v>5</v>
      </c>
      <c r="H283" t="s">
        <v>654</v>
      </c>
      <c r="K283" t="s">
        <v>951</v>
      </c>
      <c r="O283" t="s">
        <v>952</v>
      </c>
      <c r="P283" t="s">
        <v>953</v>
      </c>
    </row>
    <row r="284" spans="2:16" x14ac:dyDescent="0.2">
      <c r="B284" t="s">
        <v>432</v>
      </c>
      <c r="E284" t="s">
        <v>163</v>
      </c>
      <c r="F284" t="s">
        <v>164</v>
      </c>
      <c r="G284" t="s">
        <v>5</v>
      </c>
      <c r="H284" t="s">
        <v>655</v>
      </c>
      <c r="O284" t="s">
        <v>851</v>
      </c>
      <c r="P284" t="s">
        <v>814</v>
      </c>
    </row>
    <row r="285" spans="2:16" x14ac:dyDescent="0.2">
      <c r="B285" t="s">
        <v>474</v>
      </c>
      <c r="E285" t="s">
        <v>521</v>
      </c>
      <c r="F285" t="s">
        <v>522</v>
      </c>
      <c r="G285" t="s">
        <v>5</v>
      </c>
      <c r="H285" t="s">
        <v>732</v>
      </c>
    </row>
    <row r="286" spans="2:16" x14ac:dyDescent="0.2">
      <c r="B286" t="s">
        <v>476</v>
      </c>
      <c r="E286" t="s">
        <v>312</v>
      </c>
      <c r="F286" t="s">
        <v>313</v>
      </c>
      <c r="G286" t="s">
        <v>5</v>
      </c>
      <c r="H286" t="s">
        <v>733</v>
      </c>
    </row>
    <row r="287" spans="2:16" x14ac:dyDescent="0.2">
      <c r="B287" t="s">
        <v>482</v>
      </c>
      <c r="E287" t="s">
        <v>153</v>
      </c>
      <c r="F287" t="s">
        <v>154</v>
      </c>
      <c r="G287" t="s">
        <v>5</v>
      </c>
      <c r="H287" t="s">
        <v>654</v>
      </c>
    </row>
    <row r="288" spans="2:16" x14ac:dyDescent="0.2">
      <c r="B288" t="s">
        <v>484</v>
      </c>
      <c r="E288" t="s">
        <v>452</v>
      </c>
      <c r="F288" t="s">
        <v>453</v>
      </c>
      <c r="G288" t="s">
        <v>5</v>
      </c>
      <c r="H288" t="s">
        <v>729</v>
      </c>
    </row>
    <row r="289" spans="2:16" x14ac:dyDescent="0.2">
      <c r="B289" t="s">
        <v>488</v>
      </c>
      <c r="E289" t="s">
        <v>503</v>
      </c>
      <c r="F289" t="s">
        <v>504</v>
      </c>
      <c r="G289" t="s">
        <v>5</v>
      </c>
      <c r="H289" t="s">
        <v>732</v>
      </c>
      <c r="O289" t="s">
        <v>912</v>
      </c>
      <c r="P289" t="s">
        <v>913</v>
      </c>
    </row>
    <row r="290" spans="2:16" x14ac:dyDescent="0.2">
      <c r="B290" t="s">
        <v>490</v>
      </c>
      <c r="E290" t="s">
        <v>217</v>
      </c>
      <c r="F290" t="s">
        <v>218</v>
      </c>
      <c r="G290" t="s">
        <v>5</v>
      </c>
      <c r="H290" t="s">
        <v>675</v>
      </c>
      <c r="O290" t="s">
        <v>912</v>
      </c>
      <c r="P290" t="s">
        <v>913</v>
      </c>
    </row>
    <row r="291" spans="2:16" x14ac:dyDescent="0.2">
      <c r="B291" t="s">
        <v>496</v>
      </c>
      <c r="E291" t="s">
        <v>535</v>
      </c>
      <c r="F291" t="s">
        <v>536</v>
      </c>
      <c r="G291" t="s">
        <v>5</v>
      </c>
      <c r="H291" t="s">
        <v>699</v>
      </c>
      <c r="O291" t="s">
        <v>957</v>
      </c>
    </row>
    <row r="292" spans="2:16" x14ac:dyDescent="0.2">
      <c r="B292" t="s">
        <v>498</v>
      </c>
      <c r="E292" t="s">
        <v>566</v>
      </c>
      <c r="F292" t="s">
        <v>567</v>
      </c>
      <c r="G292" t="s">
        <v>5</v>
      </c>
      <c r="H292" t="s">
        <v>733</v>
      </c>
      <c r="O292" t="s">
        <v>957</v>
      </c>
      <c r="P292" t="s">
        <v>958</v>
      </c>
    </row>
    <row r="293" spans="2:16" x14ac:dyDescent="0.2">
      <c r="B293" t="s">
        <v>525</v>
      </c>
      <c r="E293" t="s">
        <v>161</v>
      </c>
      <c r="F293" t="s">
        <v>162</v>
      </c>
      <c r="G293" t="s">
        <v>5</v>
      </c>
      <c r="H293" t="s">
        <v>734</v>
      </c>
    </row>
    <row r="294" spans="2:16" x14ac:dyDescent="0.2">
      <c r="B294" t="s">
        <v>529</v>
      </c>
      <c r="E294" t="s">
        <v>101</v>
      </c>
      <c r="F294" t="s">
        <v>102</v>
      </c>
      <c r="G294" t="s">
        <v>5</v>
      </c>
      <c r="H294" t="s">
        <v>733</v>
      </c>
      <c r="P294" t="s">
        <v>756</v>
      </c>
    </row>
    <row r="295" spans="2:16" x14ac:dyDescent="0.2">
      <c r="B295" t="s">
        <v>531</v>
      </c>
      <c r="E295" t="s">
        <v>195</v>
      </c>
      <c r="F295" t="s">
        <v>196</v>
      </c>
      <c r="G295" t="s">
        <v>5</v>
      </c>
      <c r="H295" t="s">
        <v>669</v>
      </c>
    </row>
    <row r="296" spans="2:16" x14ac:dyDescent="0.2">
      <c r="B296" t="s">
        <v>533</v>
      </c>
      <c r="E296" t="s">
        <v>462</v>
      </c>
      <c r="F296" t="s">
        <v>463</v>
      </c>
      <c r="G296" t="s">
        <v>5</v>
      </c>
      <c r="H296" t="s">
        <v>700</v>
      </c>
    </row>
    <row r="297" spans="2:16" x14ac:dyDescent="0.2">
      <c r="B297" t="s">
        <v>585</v>
      </c>
      <c r="E297" t="s">
        <v>466</v>
      </c>
      <c r="F297" t="s">
        <v>467</v>
      </c>
      <c r="G297" t="s">
        <v>5</v>
      </c>
      <c r="H297" t="s">
        <v>655</v>
      </c>
      <c r="K297" t="s">
        <v>703</v>
      </c>
      <c r="O297" t="s">
        <v>704</v>
      </c>
      <c r="P297" t="s">
        <v>710</v>
      </c>
    </row>
    <row r="298" spans="2:16" x14ac:dyDescent="0.2">
      <c r="B298" t="s">
        <v>587</v>
      </c>
      <c r="E298" t="s">
        <v>470</v>
      </c>
      <c r="F298" t="s">
        <v>471</v>
      </c>
      <c r="G298" t="s">
        <v>5</v>
      </c>
      <c r="H298" t="s">
        <v>650</v>
      </c>
      <c r="O298" t="s">
        <v>727</v>
      </c>
    </row>
    <row r="299" spans="2:16" x14ac:dyDescent="0.2">
      <c r="B299" t="s">
        <v>591</v>
      </c>
      <c r="E299" t="s">
        <v>117</v>
      </c>
      <c r="F299" t="s">
        <v>118</v>
      </c>
      <c r="G299" t="s">
        <v>5</v>
      </c>
      <c r="H299" t="s">
        <v>669</v>
      </c>
      <c r="O299" t="s">
        <v>727</v>
      </c>
    </row>
    <row r="300" spans="2:16" x14ac:dyDescent="0.2">
      <c r="B300" t="s">
        <v>593</v>
      </c>
      <c r="E300" t="s">
        <v>406</v>
      </c>
      <c r="F300" t="s">
        <v>407</v>
      </c>
      <c r="G300" t="s">
        <v>5</v>
      </c>
      <c r="H300" t="s">
        <v>714</v>
      </c>
      <c r="O300" t="s">
        <v>727</v>
      </c>
    </row>
    <row r="301" spans="2:16" x14ac:dyDescent="0.2">
      <c r="B301" t="s">
        <v>595</v>
      </c>
      <c r="E301" t="s">
        <v>570</v>
      </c>
      <c r="F301" t="s">
        <v>571</v>
      </c>
      <c r="G301" t="s">
        <v>5</v>
      </c>
      <c r="H301" t="s">
        <v>655</v>
      </c>
      <c r="M301" t="s">
        <v>897</v>
      </c>
      <c r="O301" t="s">
        <v>898</v>
      </c>
      <c r="P301" t="s">
        <v>899</v>
      </c>
    </row>
    <row r="302" spans="2:16" x14ac:dyDescent="0.2">
      <c r="B302" t="s">
        <v>597</v>
      </c>
      <c r="E302" t="s">
        <v>593</v>
      </c>
      <c r="F302" t="s">
        <v>594</v>
      </c>
      <c r="G302" t="s">
        <v>5</v>
      </c>
      <c r="H302" t="s">
        <v>734</v>
      </c>
      <c r="M302" t="s">
        <v>897</v>
      </c>
      <c r="O302" t="s">
        <v>898</v>
      </c>
      <c r="P302" t="s">
        <v>899</v>
      </c>
    </row>
    <row r="303" spans="2:16" x14ac:dyDescent="0.2">
      <c r="B303" t="s">
        <v>599</v>
      </c>
      <c r="E303" t="s">
        <v>609</v>
      </c>
      <c r="F303" t="s">
        <v>610</v>
      </c>
      <c r="G303" t="s">
        <v>5</v>
      </c>
      <c r="H303" t="s">
        <v>734</v>
      </c>
      <c r="M303" t="s">
        <v>897</v>
      </c>
      <c r="O303" t="s">
        <v>898</v>
      </c>
      <c r="P303" t="s">
        <v>899</v>
      </c>
    </row>
    <row r="304" spans="2:16" x14ac:dyDescent="0.2">
      <c r="B304" t="s">
        <v>601</v>
      </c>
      <c r="E304" t="s">
        <v>171</v>
      </c>
      <c r="F304" t="s">
        <v>172</v>
      </c>
      <c r="G304" t="s">
        <v>5</v>
      </c>
      <c r="H304" t="s">
        <v>675</v>
      </c>
      <c r="M304" t="s">
        <v>897</v>
      </c>
      <c r="O304" t="s">
        <v>898</v>
      </c>
      <c r="P304" t="s">
        <v>899</v>
      </c>
    </row>
    <row r="305" spans="2:16" x14ac:dyDescent="0.2">
      <c r="B305" t="s">
        <v>603</v>
      </c>
      <c r="E305" t="s">
        <v>81</v>
      </c>
      <c r="F305" t="s">
        <v>82</v>
      </c>
      <c r="G305" t="s">
        <v>5</v>
      </c>
      <c r="H305" t="s">
        <v>675</v>
      </c>
      <c r="M305" t="s">
        <v>897</v>
      </c>
      <c r="O305" t="s">
        <v>898</v>
      </c>
      <c r="P305" t="s">
        <v>899</v>
      </c>
    </row>
    <row r="306" spans="2:16" x14ac:dyDescent="0.2">
      <c r="B306" t="s">
        <v>615</v>
      </c>
      <c r="E306" t="s">
        <v>625</v>
      </c>
      <c r="F306" t="s">
        <v>626</v>
      </c>
      <c r="G306" t="s">
        <v>5</v>
      </c>
      <c r="H306" t="s">
        <v>733</v>
      </c>
      <c r="M306" t="s">
        <v>897</v>
      </c>
      <c r="O306" t="s">
        <v>898</v>
      </c>
      <c r="P306" t="s">
        <v>899</v>
      </c>
    </row>
    <row r="307" spans="2:16" x14ac:dyDescent="0.2">
      <c r="B307" t="s">
        <v>617</v>
      </c>
      <c r="E307" t="s">
        <v>613</v>
      </c>
      <c r="F307" t="s">
        <v>614</v>
      </c>
      <c r="G307" t="s">
        <v>5</v>
      </c>
      <c r="H307" t="s">
        <v>734</v>
      </c>
      <c r="M307" t="s">
        <v>897</v>
      </c>
      <c r="O307" t="s">
        <v>898</v>
      </c>
      <c r="P307" t="s">
        <v>899</v>
      </c>
    </row>
    <row r="308" spans="2:16" x14ac:dyDescent="0.2">
      <c r="B308" t="s">
        <v>619</v>
      </c>
      <c r="E308" t="s">
        <v>251</v>
      </c>
      <c r="F308" t="s">
        <v>252</v>
      </c>
      <c r="G308" t="s">
        <v>5</v>
      </c>
      <c r="H308" t="s">
        <v>774</v>
      </c>
      <c r="M308" t="s">
        <v>897</v>
      </c>
      <c r="O308" t="s">
        <v>898</v>
      </c>
      <c r="P308" t="s">
        <v>899</v>
      </c>
    </row>
    <row r="309" spans="2:16" x14ac:dyDescent="0.2">
      <c r="B309" t="s">
        <v>623</v>
      </c>
      <c r="E309" t="s">
        <v>366</v>
      </c>
      <c r="F309" t="s">
        <v>367</v>
      </c>
      <c r="G309" t="s">
        <v>5</v>
      </c>
      <c r="H309" t="s">
        <v>699</v>
      </c>
      <c r="M309" t="s">
        <v>897</v>
      </c>
      <c r="O309" t="s">
        <v>898</v>
      </c>
      <c r="P309" t="s">
        <v>899</v>
      </c>
    </row>
    <row r="310" spans="2:16" x14ac:dyDescent="0.2">
      <c r="B310" t="s">
        <v>625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52365-58B0-4CFE-A096-D1062D673343}">
  <dimension ref="C2:O36"/>
  <sheetViews>
    <sheetView zoomScale="68" zoomScaleNormal="68" workbookViewId="0">
      <selection activeCell="G3" sqref="G3:G36"/>
    </sheetView>
  </sheetViews>
  <sheetFormatPr defaultRowHeight="14.25" x14ac:dyDescent="0.2"/>
  <cols>
    <col min="3" max="3" width="16.625" customWidth="1"/>
    <col min="4" max="4" width="27.75" customWidth="1"/>
    <col min="8" max="8" width="21.125" customWidth="1"/>
  </cols>
  <sheetData>
    <row r="2" spans="3:15" x14ac:dyDescent="0.2">
      <c r="C2" t="s">
        <v>1215</v>
      </c>
      <c r="D2" t="s">
        <v>1216</v>
      </c>
      <c r="E2" t="s">
        <v>1217</v>
      </c>
      <c r="F2" t="s">
        <v>1218</v>
      </c>
      <c r="G2" t="s">
        <v>1219</v>
      </c>
      <c r="H2" t="s">
        <v>1220</v>
      </c>
      <c r="I2" t="s">
        <v>1221</v>
      </c>
      <c r="J2" t="s">
        <v>1222</v>
      </c>
      <c r="K2" t="s">
        <v>1223</v>
      </c>
      <c r="L2" t="s">
        <v>1224</v>
      </c>
      <c r="M2" t="s">
        <v>1225</v>
      </c>
      <c r="N2" t="s">
        <v>1226</v>
      </c>
      <c r="O2" t="s">
        <v>1227</v>
      </c>
    </row>
    <row r="3" spans="3:15" x14ac:dyDescent="0.2">
      <c r="C3" t="s">
        <v>1228</v>
      </c>
      <c r="D3" t="s">
        <v>1229</v>
      </c>
      <c r="E3">
        <v>307</v>
      </c>
      <c r="F3">
        <v>99.675324675324603</v>
      </c>
      <c r="G3" s="2">
        <v>0</v>
      </c>
      <c r="H3" t="s">
        <v>1951</v>
      </c>
      <c r="I3">
        <v>308</v>
      </c>
      <c r="J3">
        <v>356</v>
      </c>
      <c r="K3">
        <v>13273</v>
      </c>
      <c r="L3">
        <v>37.162656865606301</v>
      </c>
      <c r="M3" s="2">
        <v>0</v>
      </c>
      <c r="N3" s="2">
        <v>0</v>
      </c>
      <c r="O3" s="2">
        <v>0</v>
      </c>
    </row>
    <row r="4" spans="3:15" x14ac:dyDescent="0.2">
      <c r="C4" t="s">
        <v>1228</v>
      </c>
      <c r="D4" t="s">
        <v>1231</v>
      </c>
      <c r="E4">
        <v>99</v>
      </c>
      <c r="F4">
        <v>32.142857142857103</v>
      </c>
      <c r="G4" s="2">
        <v>1.6144223882891601E-84</v>
      </c>
      <c r="H4" t="s">
        <v>1952</v>
      </c>
      <c r="I4">
        <v>308</v>
      </c>
      <c r="J4">
        <v>328</v>
      </c>
      <c r="K4">
        <v>13273</v>
      </c>
      <c r="L4">
        <v>13.007077526132401</v>
      </c>
      <c r="M4" s="2">
        <v>9.3636498520771299E-83</v>
      </c>
      <c r="N4" s="2">
        <v>4.6818249260385598E-83</v>
      </c>
      <c r="O4" s="2">
        <v>2.17947022419036E-83</v>
      </c>
    </row>
    <row r="5" spans="3:15" x14ac:dyDescent="0.2">
      <c r="C5" t="s">
        <v>1228</v>
      </c>
      <c r="D5" t="s">
        <v>1233</v>
      </c>
      <c r="E5">
        <v>100</v>
      </c>
      <c r="F5">
        <v>32.467532467532401</v>
      </c>
      <c r="G5" s="2">
        <v>8.4586501106626794E-76</v>
      </c>
      <c r="H5" t="s">
        <v>1953</v>
      </c>
      <c r="I5">
        <v>308</v>
      </c>
      <c r="J5">
        <v>406</v>
      </c>
      <c r="K5">
        <v>13273</v>
      </c>
      <c r="L5">
        <v>10.6143240995457</v>
      </c>
      <c r="M5" s="2">
        <v>4.90601706418436E-74</v>
      </c>
      <c r="N5" s="2">
        <v>1.63533902139478E-74</v>
      </c>
      <c r="O5" s="2">
        <v>7.6127850995964203E-75</v>
      </c>
    </row>
    <row r="6" spans="3:15" x14ac:dyDescent="0.2">
      <c r="C6" t="s">
        <v>1228</v>
      </c>
      <c r="D6" t="s">
        <v>1235</v>
      </c>
      <c r="E6">
        <v>82</v>
      </c>
      <c r="F6">
        <v>26.6233766233766</v>
      </c>
      <c r="G6" s="2">
        <v>2.56703390288054E-73</v>
      </c>
      <c r="H6" t="s">
        <v>1954</v>
      </c>
      <c r="I6">
        <v>308</v>
      </c>
      <c r="J6">
        <v>244</v>
      </c>
      <c r="K6">
        <v>13273</v>
      </c>
      <c r="L6">
        <v>14.4824622099212</v>
      </c>
      <c r="M6" s="2">
        <v>1.4888796636707099E-71</v>
      </c>
      <c r="N6" s="2">
        <v>3.7221991591767899E-72</v>
      </c>
      <c r="O6" s="2">
        <v>1.73274788444436E-72</v>
      </c>
    </row>
    <row r="7" spans="3:15" x14ac:dyDescent="0.2">
      <c r="C7" t="s">
        <v>1228</v>
      </c>
      <c r="D7" t="s">
        <v>1237</v>
      </c>
      <c r="E7">
        <v>90</v>
      </c>
      <c r="F7">
        <v>29.2207792207792</v>
      </c>
      <c r="G7" s="2">
        <v>7.1932468409616597E-70</v>
      </c>
      <c r="H7" t="s">
        <v>1955</v>
      </c>
      <c r="I7">
        <v>308</v>
      </c>
      <c r="J7">
        <v>346</v>
      </c>
      <c r="K7">
        <v>13273</v>
      </c>
      <c r="L7">
        <v>11.2094625028151</v>
      </c>
      <c r="M7" s="2">
        <v>4.1720831677577597E-68</v>
      </c>
      <c r="N7" s="2">
        <v>8.3441663355155198E-69</v>
      </c>
      <c r="O7" s="2">
        <v>3.8843532941192902E-69</v>
      </c>
    </row>
    <row r="8" spans="3:15" x14ac:dyDescent="0.2">
      <c r="C8" t="s">
        <v>1228</v>
      </c>
      <c r="D8" t="s">
        <v>1239</v>
      </c>
      <c r="E8">
        <v>68</v>
      </c>
      <c r="F8">
        <v>22.077922077922</v>
      </c>
      <c r="G8" s="2">
        <v>7.1382461783268302E-60</v>
      </c>
      <c r="H8" t="s">
        <v>1956</v>
      </c>
      <c r="I8">
        <v>308</v>
      </c>
      <c r="J8">
        <v>204</v>
      </c>
      <c r="K8">
        <v>13273</v>
      </c>
      <c r="L8">
        <v>14.364718614718599</v>
      </c>
      <c r="M8" s="2">
        <v>4.1401827834295597E-58</v>
      </c>
      <c r="N8" s="2">
        <v>6.9003046390492702E-59</v>
      </c>
      <c r="O8" s="2">
        <v>3.2122107802470701E-59</v>
      </c>
    </row>
    <row r="9" spans="3:15" x14ac:dyDescent="0.2">
      <c r="C9" t="s">
        <v>1228</v>
      </c>
      <c r="D9" t="s">
        <v>1241</v>
      </c>
      <c r="E9">
        <v>74</v>
      </c>
      <c r="F9">
        <v>24.025974025974001</v>
      </c>
      <c r="G9" s="2">
        <v>1.3920200005442801E-43</v>
      </c>
      <c r="H9" t="s">
        <v>1957</v>
      </c>
      <c r="I9">
        <v>308</v>
      </c>
      <c r="J9">
        <v>424</v>
      </c>
      <c r="K9">
        <v>13273</v>
      </c>
      <c r="L9">
        <v>7.5211498407253101</v>
      </c>
      <c r="M9" s="2">
        <v>8.0737160031568603E-42</v>
      </c>
      <c r="N9" s="2">
        <v>1.15338800045098E-42</v>
      </c>
      <c r="O9" s="2">
        <v>5.3692200020993902E-43</v>
      </c>
    </row>
    <row r="10" spans="3:15" x14ac:dyDescent="0.2">
      <c r="C10" t="s">
        <v>1228</v>
      </c>
      <c r="D10" t="s">
        <v>1243</v>
      </c>
      <c r="E10">
        <v>53</v>
      </c>
      <c r="F10">
        <v>17.207792207792199</v>
      </c>
      <c r="G10" s="2">
        <v>1.1702225040078501E-40</v>
      </c>
      <c r="H10" t="s">
        <v>1958</v>
      </c>
      <c r="I10">
        <v>308</v>
      </c>
      <c r="J10">
        <v>198</v>
      </c>
      <c r="K10">
        <v>13273</v>
      </c>
      <c r="L10">
        <v>11.535304342122499</v>
      </c>
      <c r="M10" s="2">
        <v>6.7872905232455494E-39</v>
      </c>
      <c r="N10" s="2">
        <v>8.48411315405694E-40</v>
      </c>
      <c r="O10" s="2">
        <v>3.9495009510265099E-40</v>
      </c>
    </row>
    <row r="11" spans="3:15" x14ac:dyDescent="0.2">
      <c r="C11" t="s">
        <v>1228</v>
      </c>
      <c r="D11" t="s">
        <v>1245</v>
      </c>
      <c r="E11">
        <v>48</v>
      </c>
      <c r="F11">
        <v>15.584415584415501</v>
      </c>
      <c r="G11" s="2">
        <v>1.40804762610028E-40</v>
      </c>
      <c r="H11" t="s">
        <v>1959</v>
      </c>
      <c r="I11">
        <v>308</v>
      </c>
      <c r="J11">
        <v>151</v>
      </c>
      <c r="K11">
        <v>13273</v>
      </c>
      <c r="L11">
        <v>13.6988045067515</v>
      </c>
      <c r="M11" s="2">
        <v>8.1666762313816405E-39</v>
      </c>
      <c r="N11" s="2">
        <v>9.0740847015351599E-40</v>
      </c>
      <c r="O11" s="2">
        <v>4.2241428783008501E-40</v>
      </c>
    </row>
    <row r="12" spans="3:15" x14ac:dyDescent="0.2">
      <c r="C12" t="s">
        <v>1228</v>
      </c>
      <c r="D12" t="s">
        <v>1247</v>
      </c>
      <c r="E12">
        <v>55</v>
      </c>
      <c r="F12">
        <v>17.857142857142801</v>
      </c>
      <c r="G12" s="2">
        <v>6.8270679989697998E-36</v>
      </c>
      <c r="H12" t="s">
        <v>1960</v>
      </c>
      <c r="I12">
        <v>308</v>
      </c>
      <c r="J12">
        <v>266</v>
      </c>
      <c r="K12">
        <v>13273</v>
      </c>
      <c r="L12">
        <v>8.91044575725026</v>
      </c>
      <c r="M12" s="2">
        <v>3.9596994394024797E-34</v>
      </c>
      <c r="N12" s="2">
        <v>3.9596994394024799E-35</v>
      </c>
      <c r="O12" s="2">
        <v>1.84330835972184E-35</v>
      </c>
    </row>
    <row r="13" spans="3:15" x14ac:dyDescent="0.2">
      <c r="C13" t="s">
        <v>1228</v>
      </c>
      <c r="D13" t="s">
        <v>1249</v>
      </c>
      <c r="E13">
        <v>71</v>
      </c>
      <c r="F13">
        <v>23.051948051947999</v>
      </c>
      <c r="G13" s="2">
        <v>1.9906627635717901E-35</v>
      </c>
      <c r="H13" t="s">
        <v>1961</v>
      </c>
      <c r="I13">
        <v>308</v>
      </c>
      <c r="J13">
        <v>504</v>
      </c>
      <c r="K13">
        <v>13273</v>
      </c>
      <c r="L13">
        <v>6.0708037002679802</v>
      </c>
      <c r="M13" s="2">
        <v>1.1545844028716299E-33</v>
      </c>
      <c r="N13" s="2">
        <v>1.0496221844287599E-34</v>
      </c>
      <c r="O13" s="2">
        <v>4.8861722378580297E-35</v>
      </c>
    </row>
    <row r="14" spans="3:15" x14ac:dyDescent="0.2">
      <c r="C14" t="s">
        <v>1228</v>
      </c>
      <c r="D14" t="s">
        <v>1251</v>
      </c>
      <c r="E14">
        <v>57</v>
      </c>
      <c r="F14">
        <v>18.506493506493499</v>
      </c>
      <c r="G14" s="2">
        <v>9.3283351301067295E-32</v>
      </c>
      <c r="H14" t="s">
        <v>1962</v>
      </c>
      <c r="I14">
        <v>308</v>
      </c>
      <c r="J14">
        <v>346</v>
      </c>
      <c r="K14">
        <v>13273</v>
      </c>
      <c r="L14">
        <v>7.0993262517828999</v>
      </c>
      <c r="M14" s="2">
        <v>5.4104343754619001E-30</v>
      </c>
      <c r="N14" s="2">
        <v>4.5086953128849197E-31</v>
      </c>
      <c r="O14" s="2">
        <v>2.0988754042740099E-31</v>
      </c>
    </row>
    <row r="15" spans="3:15" x14ac:dyDescent="0.2">
      <c r="C15" t="s">
        <v>1228</v>
      </c>
      <c r="D15" t="s">
        <v>1253</v>
      </c>
      <c r="E15">
        <v>59</v>
      </c>
      <c r="F15">
        <v>19.1558441558441</v>
      </c>
      <c r="G15" s="2">
        <v>6.4384961643730197E-31</v>
      </c>
      <c r="H15" t="s">
        <v>1963</v>
      </c>
      <c r="I15">
        <v>308</v>
      </c>
      <c r="J15">
        <v>389</v>
      </c>
      <c r="K15">
        <v>13273</v>
      </c>
      <c r="L15">
        <v>6.5361316061830204</v>
      </c>
      <c r="M15" s="2">
        <v>3.73432777533635E-29</v>
      </c>
      <c r="N15" s="2">
        <v>2.8725598271818099E-30</v>
      </c>
      <c r="O15" s="2">
        <v>1.3372261264467E-30</v>
      </c>
    </row>
    <row r="16" spans="3:15" x14ac:dyDescent="0.2">
      <c r="C16" t="s">
        <v>1228</v>
      </c>
      <c r="D16" t="s">
        <v>1255</v>
      </c>
      <c r="E16">
        <v>43</v>
      </c>
      <c r="F16">
        <v>13.9610389610389</v>
      </c>
      <c r="G16" s="2">
        <v>1.6429637594018101E-26</v>
      </c>
      <c r="H16" t="s">
        <v>1964</v>
      </c>
      <c r="I16">
        <v>308</v>
      </c>
      <c r="J16">
        <v>224</v>
      </c>
      <c r="K16">
        <v>13273</v>
      </c>
      <c r="L16">
        <v>8.2725388450834796</v>
      </c>
      <c r="M16" s="2">
        <v>9.5291898045305008E-25</v>
      </c>
      <c r="N16" s="2">
        <v>6.8065641460932096E-26</v>
      </c>
      <c r="O16" s="2">
        <v>3.1685729645606303E-26</v>
      </c>
    </row>
    <row r="17" spans="3:15" x14ac:dyDescent="0.2">
      <c r="C17" t="s">
        <v>1228</v>
      </c>
      <c r="D17" t="s">
        <v>1257</v>
      </c>
      <c r="E17">
        <v>58</v>
      </c>
      <c r="F17">
        <v>18.831168831168799</v>
      </c>
      <c r="G17" s="2">
        <v>6.1440133084274503E-22</v>
      </c>
      <c r="H17" t="s">
        <v>1965</v>
      </c>
      <c r="I17">
        <v>308</v>
      </c>
      <c r="J17">
        <v>557</v>
      </c>
      <c r="K17">
        <v>13273</v>
      </c>
      <c r="L17">
        <v>4.4873627270395602</v>
      </c>
      <c r="M17" s="2">
        <v>3.5635277188879201E-20</v>
      </c>
      <c r="N17" s="2">
        <v>2.3756851459252801E-21</v>
      </c>
      <c r="O17" s="2">
        <v>1.10592239551694E-21</v>
      </c>
    </row>
    <row r="18" spans="3:15" x14ac:dyDescent="0.2">
      <c r="C18" t="s">
        <v>1228</v>
      </c>
      <c r="D18" t="s">
        <v>1259</v>
      </c>
      <c r="E18">
        <v>64</v>
      </c>
      <c r="F18">
        <v>20.779220779220701</v>
      </c>
      <c r="G18" s="2">
        <v>4.90791440675419E-20</v>
      </c>
      <c r="H18" t="s">
        <v>1966</v>
      </c>
      <c r="I18">
        <v>308</v>
      </c>
      <c r="J18">
        <v>740</v>
      </c>
      <c r="K18">
        <v>13273</v>
      </c>
      <c r="L18">
        <v>3.72706212706212</v>
      </c>
      <c r="M18" s="2">
        <v>2.8465903559174299E-18</v>
      </c>
      <c r="N18" s="2">
        <v>1.7791189724483901E-19</v>
      </c>
      <c r="O18" s="2">
        <v>8.2821055613976995E-20</v>
      </c>
    </row>
    <row r="19" spans="3:15" x14ac:dyDescent="0.2">
      <c r="C19" t="s">
        <v>1228</v>
      </c>
      <c r="D19" t="s">
        <v>1261</v>
      </c>
      <c r="E19">
        <v>33</v>
      </c>
      <c r="F19">
        <v>10.714285714285699</v>
      </c>
      <c r="G19" s="2">
        <v>9.6709276240766297E-20</v>
      </c>
      <c r="H19" t="s">
        <v>1967</v>
      </c>
      <c r="I19">
        <v>308</v>
      </c>
      <c r="J19">
        <v>179</v>
      </c>
      <c r="K19">
        <v>13273</v>
      </c>
      <c r="L19">
        <v>7.9447326416600097</v>
      </c>
      <c r="M19" s="2">
        <v>5.6091380219644402E-18</v>
      </c>
      <c r="N19" s="2">
        <v>3.2994929540967301E-19</v>
      </c>
      <c r="O19" s="2">
        <v>1.53597085794158E-19</v>
      </c>
    </row>
    <row r="20" spans="3:15" x14ac:dyDescent="0.2">
      <c r="C20" t="s">
        <v>1228</v>
      </c>
      <c r="D20" t="s">
        <v>1263</v>
      </c>
      <c r="E20">
        <v>42</v>
      </c>
      <c r="F20">
        <v>13.636363636363599</v>
      </c>
      <c r="G20" s="2">
        <v>3.36689522610856E-18</v>
      </c>
      <c r="H20" t="s">
        <v>1968</v>
      </c>
      <c r="I20">
        <v>308</v>
      </c>
      <c r="J20">
        <v>346</v>
      </c>
      <c r="K20">
        <v>13273</v>
      </c>
      <c r="L20">
        <v>5.2310825013137103</v>
      </c>
      <c r="M20" s="2">
        <v>1.95279923114296E-16</v>
      </c>
      <c r="N20" s="2">
        <v>1.08488846174609E-17</v>
      </c>
      <c r="O20" s="2">
        <v>5.0503428391628399E-18</v>
      </c>
    </row>
    <row r="21" spans="3:15" x14ac:dyDescent="0.2">
      <c r="C21" t="s">
        <v>1228</v>
      </c>
      <c r="D21" t="s">
        <v>1265</v>
      </c>
      <c r="E21">
        <v>48</v>
      </c>
      <c r="F21">
        <v>15.584415584415501</v>
      </c>
      <c r="G21" s="2">
        <v>2.00234086831392E-13</v>
      </c>
      <c r="H21" t="s">
        <v>1969</v>
      </c>
      <c r="I21">
        <v>308</v>
      </c>
      <c r="J21">
        <v>606</v>
      </c>
      <c r="K21">
        <v>13273</v>
      </c>
      <c r="L21">
        <v>3.4133984827054098</v>
      </c>
      <c r="M21" s="2">
        <v>1.1616485551257901E-11</v>
      </c>
      <c r="N21" s="2">
        <v>6.1124089664319903E-13</v>
      </c>
      <c r="O21" s="2">
        <v>2.8454317602355799E-13</v>
      </c>
    </row>
    <row r="22" spans="3:15" x14ac:dyDescent="0.2">
      <c r="C22" t="s">
        <v>1228</v>
      </c>
      <c r="D22" t="s">
        <v>1267</v>
      </c>
      <c r="E22">
        <v>28</v>
      </c>
      <c r="F22">
        <v>9.0909090909090899</v>
      </c>
      <c r="G22" s="2">
        <v>8.7192521716062796E-13</v>
      </c>
      <c r="H22" t="s">
        <v>1970</v>
      </c>
      <c r="I22">
        <v>308</v>
      </c>
      <c r="J22">
        <v>217</v>
      </c>
      <c r="K22">
        <v>13273</v>
      </c>
      <c r="L22">
        <v>5.5605362379555903</v>
      </c>
      <c r="M22" s="2">
        <v>5.0574211485354597E-11</v>
      </c>
      <c r="N22" s="2">
        <v>2.52858312976582E-12</v>
      </c>
      <c r="O22" s="2">
        <v>1.17709904316684E-12</v>
      </c>
    </row>
    <row r="23" spans="3:15" x14ac:dyDescent="0.2">
      <c r="C23" t="s">
        <v>1228</v>
      </c>
      <c r="D23" t="s">
        <v>1269</v>
      </c>
      <c r="E23">
        <v>28</v>
      </c>
      <c r="F23">
        <v>9.0909090909090899</v>
      </c>
      <c r="G23" s="2">
        <v>3.1837318938245201E-12</v>
      </c>
      <c r="H23" t="s">
        <v>1970</v>
      </c>
      <c r="I23">
        <v>308</v>
      </c>
      <c r="J23">
        <v>229</v>
      </c>
      <c r="K23">
        <v>13273</v>
      </c>
      <c r="L23">
        <v>5.2691544263596599</v>
      </c>
      <c r="M23" s="2">
        <v>1.8465962092761799E-10</v>
      </c>
      <c r="N23" s="2">
        <v>8.7931642781820294E-12</v>
      </c>
      <c r="O23" s="2">
        <v>4.0933695777743901E-12</v>
      </c>
    </row>
    <row r="24" spans="3:15" x14ac:dyDescent="0.2">
      <c r="C24" t="s">
        <v>1228</v>
      </c>
      <c r="D24" t="s">
        <v>1270</v>
      </c>
      <c r="E24">
        <v>25</v>
      </c>
      <c r="F24">
        <v>8.1168831168831108</v>
      </c>
      <c r="G24" s="2">
        <v>5.6255212228620401E-11</v>
      </c>
      <c r="H24" t="s">
        <v>1971</v>
      </c>
      <c r="I24">
        <v>308</v>
      </c>
      <c r="J24">
        <v>204</v>
      </c>
      <c r="K24">
        <v>13273</v>
      </c>
      <c r="L24">
        <v>5.2811465495289003</v>
      </c>
      <c r="M24" s="2">
        <v>3.2628029167369699E-9</v>
      </c>
      <c r="N24" s="2">
        <v>1.48309195875453E-10</v>
      </c>
      <c r="O24" s="2">
        <v>6.9040487735125005E-11</v>
      </c>
    </row>
    <row r="25" spans="3:15" x14ac:dyDescent="0.2">
      <c r="C25" t="s">
        <v>1228</v>
      </c>
      <c r="D25" t="s">
        <v>1272</v>
      </c>
      <c r="E25">
        <v>23</v>
      </c>
      <c r="F25">
        <v>7.4675324675324601</v>
      </c>
      <c r="G25" s="2">
        <v>3.0683488171416201E-9</v>
      </c>
      <c r="H25" t="s">
        <v>1972</v>
      </c>
      <c r="I25">
        <v>308</v>
      </c>
      <c r="J25">
        <v>209</v>
      </c>
      <c r="K25">
        <v>13273</v>
      </c>
      <c r="L25">
        <v>4.7424190641893897</v>
      </c>
      <c r="M25" s="2">
        <v>1.77964214698178E-7</v>
      </c>
      <c r="N25" s="2">
        <v>7.7375752780093007E-9</v>
      </c>
      <c r="O25" s="2">
        <v>3.6019746983836398E-9</v>
      </c>
    </row>
    <row r="26" spans="3:15" x14ac:dyDescent="0.2">
      <c r="C26" t="s">
        <v>1228</v>
      </c>
      <c r="D26" t="s">
        <v>1274</v>
      </c>
      <c r="E26">
        <v>46</v>
      </c>
      <c r="F26">
        <v>14.935064935064901</v>
      </c>
      <c r="G26" s="2">
        <v>3.5733744421937202E-9</v>
      </c>
      <c r="H26" t="s">
        <v>1973</v>
      </c>
      <c r="I26">
        <v>308</v>
      </c>
      <c r="J26">
        <v>751</v>
      </c>
      <c r="K26">
        <v>13273</v>
      </c>
      <c r="L26">
        <v>2.63958877341034</v>
      </c>
      <c r="M26" s="2">
        <v>2.07255699047337E-7</v>
      </c>
      <c r="N26" s="2">
        <v>8.6356549019681699E-9</v>
      </c>
      <c r="O26" s="2">
        <v>4.0200462474679402E-9</v>
      </c>
    </row>
    <row r="27" spans="3:15" x14ac:dyDescent="0.2">
      <c r="C27" t="s">
        <v>1228</v>
      </c>
      <c r="D27" t="s">
        <v>1276</v>
      </c>
      <c r="E27">
        <v>22</v>
      </c>
      <c r="F27">
        <v>7.1428571428571397</v>
      </c>
      <c r="G27" s="2">
        <v>8.9989597342651903E-6</v>
      </c>
      <c r="H27" t="s">
        <v>1974</v>
      </c>
      <c r="I27">
        <v>308</v>
      </c>
      <c r="J27">
        <v>306</v>
      </c>
      <c r="K27">
        <v>13273</v>
      </c>
      <c r="L27">
        <v>3.0982726423902802</v>
      </c>
      <c r="M27" s="2">
        <v>5.2180582502159203E-4</v>
      </c>
      <c r="N27" s="2">
        <v>2.08775865834952E-5</v>
      </c>
      <c r="O27" s="2">
        <v>9.7188765130064096E-6</v>
      </c>
    </row>
    <row r="28" spans="3:15" x14ac:dyDescent="0.2">
      <c r="C28" t="s">
        <v>1228</v>
      </c>
      <c r="D28" t="s">
        <v>1278</v>
      </c>
      <c r="E28">
        <v>20</v>
      </c>
      <c r="F28">
        <v>6.4935064935064899</v>
      </c>
      <c r="G28" s="2">
        <v>2.3111899754749699E-5</v>
      </c>
      <c r="H28" t="s">
        <v>1975</v>
      </c>
      <c r="I28">
        <v>308</v>
      </c>
      <c r="J28">
        <v>276</v>
      </c>
      <c r="K28">
        <v>13273</v>
      </c>
      <c r="L28">
        <v>3.1227649162431699</v>
      </c>
      <c r="M28" s="2">
        <v>1.3396076002564199E-3</v>
      </c>
      <c r="N28" s="2">
        <v>5.1557314837518599E-5</v>
      </c>
      <c r="O28" s="2">
        <v>2.4000818976086201E-5</v>
      </c>
    </row>
    <row r="29" spans="3:15" x14ac:dyDescent="0.2">
      <c r="C29" t="s">
        <v>1228</v>
      </c>
      <c r="D29" t="s">
        <v>1280</v>
      </c>
      <c r="E29">
        <v>18</v>
      </c>
      <c r="F29">
        <v>5.8441558441558401</v>
      </c>
      <c r="G29" s="2">
        <v>8.8075080095095296E-5</v>
      </c>
      <c r="H29" t="s">
        <v>1976</v>
      </c>
      <c r="I29">
        <v>308</v>
      </c>
      <c r="J29">
        <v>254</v>
      </c>
      <c r="K29">
        <v>13273</v>
      </c>
      <c r="L29">
        <v>3.0539165558850598</v>
      </c>
      <c r="M29" s="2">
        <v>5.0955530171578004E-3</v>
      </c>
      <c r="N29" s="2">
        <v>1.8919832020427801E-4</v>
      </c>
      <c r="O29" s="2">
        <v>8.8075080095095296E-5</v>
      </c>
    </row>
    <row r="30" spans="3:15" x14ac:dyDescent="0.2">
      <c r="C30" t="s">
        <v>1228</v>
      </c>
      <c r="D30" t="s">
        <v>1282</v>
      </c>
      <c r="E30">
        <v>17</v>
      </c>
      <c r="F30">
        <v>5.5194805194805197</v>
      </c>
      <c r="G30" s="2">
        <v>2.0624924230452501E-4</v>
      </c>
      <c r="H30" t="s">
        <v>1977</v>
      </c>
      <c r="I30">
        <v>308</v>
      </c>
      <c r="J30">
        <v>247</v>
      </c>
      <c r="K30">
        <v>13273</v>
      </c>
      <c r="L30">
        <v>2.9659945317840002</v>
      </c>
      <c r="M30" s="2">
        <v>1.1892409451700101E-2</v>
      </c>
      <c r="N30" s="2">
        <v>4.27230573345088E-4</v>
      </c>
      <c r="O30" s="2">
        <v>2.0624924230452501E-4</v>
      </c>
    </row>
    <row r="31" spans="3:15" x14ac:dyDescent="0.2">
      <c r="C31" t="s">
        <v>1228</v>
      </c>
      <c r="D31" t="s">
        <v>1284</v>
      </c>
      <c r="E31">
        <v>18</v>
      </c>
      <c r="F31">
        <v>5.8441558441558401</v>
      </c>
      <c r="G31" s="2">
        <v>2.39524929393039E-4</v>
      </c>
      <c r="H31" t="s">
        <v>1978</v>
      </c>
      <c r="I31">
        <v>308</v>
      </c>
      <c r="J31">
        <v>276</v>
      </c>
      <c r="K31">
        <v>13273</v>
      </c>
      <c r="L31">
        <v>2.8104884246188502</v>
      </c>
      <c r="M31" s="2">
        <v>1.37980323041595E-2</v>
      </c>
      <c r="N31" s="2">
        <v>4.79049858786078E-4</v>
      </c>
      <c r="O31" s="2">
        <v>2.39524929393039E-4</v>
      </c>
    </row>
    <row r="32" spans="3:15" x14ac:dyDescent="0.2">
      <c r="C32" t="s">
        <v>1228</v>
      </c>
      <c r="D32" t="s">
        <v>1286</v>
      </c>
      <c r="E32">
        <v>17</v>
      </c>
      <c r="F32">
        <v>5.5194805194805197</v>
      </c>
      <c r="G32" s="2">
        <v>2.3849903481203802E-3</v>
      </c>
      <c r="H32" t="s">
        <v>1977</v>
      </c>
      <c r="I32">
        <v>308</v>
      </c>
      <c r="J32">
        <v>310</v>
      </c>
      <c r="K32">
        <v>13273</v>
      </c>
      <c r="L32">
        <v>2.3632279011311201</v>
      </c>
      <c r="M32" s="2">
        <v>0.12933209949142599</v>
      </c>
      <c r="N32" s="2">
        <v>4.6109813396994102E-3</v>
      </c>
      <c r="O32" s="2">
        <v>2.3849903481203802E-3</v>
      </c>
    </row>
    <row r="33" spans="3:15" x14ac:dyDescent="0.2">
      <c r="C33" t="s">
        <v>1228</v>
      </c>
      <c r="D33" t="s">
        <v>1287</v>
      </c>
      <c r="E33">
        <v>18</v>
      </c>
      <c r="F33">
        <v>5.8441558441558401</v>
      </c>
      <c r="G33" s="2">
        <v>2.9961852128687601E-3</v>
      </c>
      <c r="H33" t="s">
        <v>1979</v>
      </c>
      <c r="I33">
        <v>308</v>
      </c>
      <c r="J33">
        <v>347</v>
      </c>
      <c r="K33">
        <v>13273</v>
      </c>
      <c r="L33">
        <v>2.2354317152587999</v>
      </c>
      <c r="M33" s="2">
        <v>0.15973637758943701</v>
      </c>
      <c r="N33" s="2">
        <v>5.6057658821415503E-3</v>
      </c>
      <c r="O33" s="2">
        <v>2.9961852128687601E-3</v>
      </c>
    </row>
    <row r="34" spans="3:15" x14ac:dyDescent="0.2">
      <c r="C34" t="s">
        <v>1228</v>
      </c>
      <c r="D34" t="s">
        <v>1289</v>
      </c>
      <c r="E34">
        <v>6</v>
      </c>
      <c r="F34">
        <v>1.94805194805194</v>
      </c>
      <c r="G34" s="2">
        <v>1.3259977535813599E-2</v>
      </c>
      <c r="H34" t="s">
        <v>1980</v>
      </c>
      <c r="I34">
        <v>308</v>
      </c>
      <c r="J34">
        <v>61</v>
      </c>
      <c r="K34">
        <v>13273</v>
      </c>
      <c r="L34">
        <v>4.2387694272940104</v>
      </c>
      <c r="M34" s="2">
        <v>0.53893820905600598</v>
      </c>
      <c r="N34" s="2">
        <v>2.4033709283662299E-2</v>
      </c>
      <c r="O34" s="2">
        <v>1.3259977535813599E-2</v>
      </c>
    </row>
    <row r="35" spans="3:15" x14ac:dyDescent="0.2">
      <c r="C35" t="s">
        <v>1228</v>
      </c>
      <c r="D35" t="s">
        <v>1291</v>
      </c>
      <c r="E35">
        <v>10</v>
      </c>
      <c r="F35">
        <v>3.2467532467532401</v>
      </c>
      <c r="G35" s="2">
        <v>1.5131459701424E-2</v>
      </c>
      <c r="H35" t="s">
        <v>1981</v>
      </c>
      <c r="I35">
        <v>308</v>
      </c>
      <c r="J35">
        <v>166</v>
      </c>
      <c r="K35">
        <v>13273</v>
      </c>
      <c r="L35">
        <v>2.5960334845877</v>
      </c>
      <c r="M35" s="2">
        <v>0.58701015878828999</v>
      </c>
      <c r="N35" s="2">
        <v>2.65946867479574E-2</v>
      </c>
      <c r="O35" s="2">
        <v>1.5131459701424E-2</v>
      </c>
    </row>
    <row r="36" spans="3:15" x14ac:dyDescent="0.2">
      <c r="C36" t="s">
        <v>1228</v>
      </c>
      <c r="D36" t="s">
        <v>1982</v>
      </c>
      <c r="E36">
        <v>16</v>
      </c>
      <c r="F36">
        <v>5.1948051948051903</v>
      </c>
      <c r="G36" s="2">
        <v>6.0696302415559497E-2</v>
      </c>
      <c r="H36" t="s">
        <v>1983</v>
      </c>
      <c r="I36">
        <v>308</v>
      </c>
      <c r="J36">
        <v>417</v>
      </c>
      <c r="K36">
        <v>13273</v>
      </c>
      <c r="L36">
        <v>1.65349279018343</v>
      </c>
      <c r="M36" s="2">
        <v>0.97353024918187803</v>
      </c>
      <c r="N36" s="2">
        <v>0.103540751179483</v>
      </c>
      <c r="O36" s="2">
        <v>6.0696302415559497E-2</v>
      </c>
    </row>
  </sheetData>
  <pageMargins left="0.7" right="0.7" top="0.75" bottom="0.75" header="0.3" footer="0.3"/>
</worksheet>
</file>

<file path=docMetadata/LabelInfo.xml><?xml version="1.0" encoding="utf-8"?>
<clbl:labelList xmlns:clbl="http://schemas.microsoft.com/office/2020/mipLabelMetadata">
  <clbl:label id="{d6fa6db5-9f3a-4c93-9e38-61059ee07e95}" enabled="1" method="Standard" siteId="{4e8d09f7-cc79-4ccb-9149-a4238dd1742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mTOR</vt:lpstr>
      <vt:lpstr>All up</vt:lpstr>
      <vt:lpstr>All down</vt:lpstr>
      <vt:lpstr>All up pathways</vt:lpstr>
      <vt:lpstr>all down pathways</vt:lpstr>
      <vt:lpstr>up and down </vt:lpstr>
      <vt:lpstr>No duplicates</vt:lpstr>
      <vt:lpstr>mTOR mRNA transcripts + pathway</vt:lpstr>
    </vt:vector>
  </TitlesOfParts>
  <Company>University of Stirling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Grobler</dc:creator>
  <cp:lastModifiedBy>Teresa Grobler</cp:lastModifiedBy>
  <dcterms:created xsi:type="dcterms:W3CDTF">2025-01-09T19:07:11Z</dcterms:created>
  <dcterms:modified xsi:type="dcterms:W3CDTF">2025-10-07T14:35:31Z</dcterms:modified>
</cp:coreProperties>
</file>